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921" documentId="8_{EB592793-3ADD-485E-AF1F-36F55B2CC391}" xr6:coauthVersionLast="47" xr6:coauthVersionMax="47" xr10:uidLastSave="{76DD2625-CEE1-4257-9A07-947CF9065B01}"/>
  <bookViews>
    <workbookView xWindow="-108" yWindow="-108" windowWidth="23256" windowHeight="12456" activeTab="1" xr2:uid="{744F99B0-9591-4E0C-8599-2656574C0882}"/>
  </bookViews>
  <sheets>
    <sheet name="data_1" sheetId="1" r:id="rId1"/>
    <sheet name="Sheet1" sheetId="5" r:id="rId2"/>
    <sheet name="sumif" sheetId="2" r:id="rId3"/>
    <sheet name="count" sheetId="3" r:id="rId4"/>
    <sheet name="attendence she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5" l="1" a="1"/>
  <c r="S15" i="5" s="1"/>
  <c r="S14" i="5"/>
  <c r="S13" i="5"/>
  <c r="S9" i="5"/>
  <c r="S11" i="5"/>
  <c r="S12" i="5"/>
  <c r="S8" i="5"/>
  <c r="S7" i="5" a="1"/>
  <c r="S7" i="5" s="1"/>
  <c r="S6" i="5" a="1"/>
  <c r="S6" i="5" s="1"/>
  <c r="S5" i="5" a="1"/>
  <c r="S5" i="5" s="1"/>
  <c r="S4" i="5"/>
  <c r="S3" i="5" a="1"/>
  <c r="S3" i="5" s="1"/>
  <c r="O29" i="5"/>
  <c r="N29" i="5"/>
  <c r="M29" i="5"/>
  <c r="L29" i="5"/>
  <c r="K29" i="5"/>
  <c r="J29" i="5"/>
  <c r="O28" i="5"/>
  <c r="N28" i="5"/>
  <c r="M28" i="5"/>
  <c r="L28" i="5"/>
  <c r="J28" i="5"/>
  <c r="K28" i="5" s="1"/>
  <c r="O27" i="5"/>
  <c r="N27" i="5"/>
  <c r="M27" i="5"/>
  <c r="L27" i="5"/>
  <c r="K27" i="5"/>
  <c r="J27" i="5"/>
  <c r="O26" i="5"/>
  <c r="N26" i="5"/>
  <c r="M26" i="5"/>
  <c r="L26" i="5"/>
  <c r="J26" i="5"/>
  <c r="K26" i="5" s="1"/>
  <c r="O25" i="5"/>
  <c r="N25" i="5"/>
  <c r="M25" i="5"/>
  <c r="L25" i="5"/>
  <c r="K25" i="5"/>
  <c r="J25" i="5"/>
  <c r="O24" i="5"/>
  <c r="N24" i="5"/>
  <c r="M24" i="5"/>
  <c r="L24" i="5"/>
  <c r="J24" i="5"/>
  <c r="K24" i="5" s="1"/>
  <c r="O23" i="5"/>
  <c r="N23" i="5"/>
  <c r="M23" i="5"/>
  <c r="L23" i="5"/>
  <c r="K23" i="5"/>
  <c r="J23" i="5"/>
  <c r="O22" i="5"/>
  <c r="N22" i="5"/>
  <c r="M22" i="5"/>
  <c r="L22" i="5"/>
  <c r="J22" i="5"/>
  <c r="K22" i="5" s="1"/>
  <c r="O21" i="5"/>
  <c r="N21" i="5"/>
  <c r="M21" i="5"/>
  <c r="L21" i="5"/>
  <c r="K21" i="5"/>
  <c r="J21" i="5"/>
  <c r="O20" i="5"/>
  <c r="N20" i="5"/>
  <c r="M20" i="5"/>
  <c r="L20" i="5"/>
  <c r="J20" i="5"/>
  <c r="K20" i="5" s="1"/>
  <c r="O19" i="5"/>
  <c r="N19" i="5"/>
  <c r="M19" i="5"/>
  <c r="L19" i="5"/>
  <c r="K19" i="5"/>
  <c r="J19" i="5"/>
  <c r="O18" i="5"/>
  <c r="N18" i="5"/>
  <c r="M18" i="5"/>
  <c r="L18" i="5"/>
  <c r="J18" i="5"/>
  <c r="K18" i="5" s="1"/>
  <c r="O17" i="5"/>
  <c r="N17" i="5"/>
  <c r="M17" i="5"/>
  <c r="L17" i="5"/>
  <c r="K17" i="5"/>
  <c r="J17" i="5"/>
  <c r="O16" i="5"/>
  <c r="N16" i="5"/>
  <c r="M16" i="5"/>
  <c r="L16" i="5"/>
  <c r="K16" i="5"/>
  <c r="J16" i="5"/>
  <c r="O15" i="5"/>
  <c r="N15" i="5"/>
  <c r="M15" i="5"/>
  <c r="L15" i="5"/>
  <c r="K15" i="5"/>
  <c r="J15" i="5"/>
  <c r="O14" i="5"/>
  <c r="N14" i="5"/>
  <c r="M14" i="5"/>
  <c r="L14" i="5"/>
  <c r="J14" i="5"/>
  <c r="K14" i="5" s="1"/>
  <c r="O13" i="5"/>
  <c r="N13" i="5"/>
  <c r="M13" i="5"/>
  <c r="L13" i="5"/>
  <c r="K13" i="5"/>
  <c r="J13" i="5"/>
  <c r="O12" i="5"/>
  <c r="N12" i="5"/>
  <c r="M12" i="5"/>
  <c r="L12" i="5"/>
  <c r="K12" i="5"/>
  <c r="J12" i="5"/>
  <c r="O11" i="5"/>
  <c r="N11" i="5"/>
  <c r="M11" i="5"/>
  <c r="L11" i="5"/>
  <c r="K11" i="5"/>
  <c r="J11" i="5"/>
  <c r="O10" i="5"/>
  <c r="N10" i="5"/>
  <c r="M10" i="5"/>
  <c r="L10" i="5"/>
  <c r="J10" i="5"/>
  <c r="K10" i="5" s="1"/>
  <c r="O9" i="5"/>
  <c r="N9" i="5"/>
  <c r="M9" i="5"/>
  <c r="L9" i="5"/>
  <c r="K9" i="5"/>
  <c r="J9" i="5"/>
  <c r="O8" i="5"/>
  <c r="N8" i="5"/>
  <c r="M8" i="5"/>
  <c r="L8" i="5"/>
  <c r="K8" i="5"/>
  <c r="J8" i="5"/>
  <c r="O7" i="5"/>
  <c r="N7" i="5"/>
  <c r="M7" i="5"/>
  <c r="L7" i="5"/>
  <c r="K7" i="5"/>
  <c r="J7" i="5"/>
  <c r="O6" i="5"/>
  <c r="N6" i="5"/>
  <c r="M6" i="5"/>
  <c r="L6" i="5"/>
  <c r="J6" i="5"/>
  <c r="K6" i="5" s="1"/>
  <c r="O5" i="5"/>
  <c r="N5" i="5"/>
  <c r="M5" i="5"/>
  <c r="L5" i="5"/>
  <c r="K5" i="5"/>
  <c r="J5" i="5"/>
  <c r="O4" i="5"/>
  <c r="N4" i="5"/>
  <c r="M4" i="5"/>
  <c r="L4" i="5"/>
  <c r="K4" i="5"/>
  <c r="J4" i="5"/>
  <c r="O3" i="5"/>
  <c r="N3" i="5"/>
  <c r="M3" i="5"/>
  <c r="L3" i="5"/>
  <c r="K3" i="5"/>
  <c r="J3" i="5"/>
  <c r="O2" i="5"/>
  <c r="N2" i="5"/>
  <c r="M2" i="5"/>
  <c r="L2" i="5"/>
  <c r="J2" i="5"/>
  <c r="K2" i="5" s="1"/>
  <c r="Q22" i="1"/>
  <c r="Q23" i="1" a="1"/>
  <c r="Q23" i="1" s="1"/>
  <c r="Q21" i="1"/>
  <c r="R17" i="1"/>
  <c r="R18" i="1"/>
  <c r="S17" i="1"/>
  <c r="T17" i="1"/>
  <c r="U17" i="1"/>
  <c r="V17" i="1"/>
  <c r="W17" i="1"/>
  <c r="X17" i="1"/>
  <c r="Y17" i="1"/>
  <c r="Z17" i="1"/>
  <c r="AA17" i="1"/>
  <c r="R15" i="1"/>
  <c r="R16" i="1" a="1"/>
  <c r="R16" i="1" s="1"/>
  <c r="AO5" i="4"/>
  <c r="AN5" i="4"/>
  <c r="AN6" i="4"/>
  <c r="AN7" i="4"/>
  <c r="AN8" i="4"/>
  <c r="AN9" i="4"/>
  <c r="AN10" i="4"/>
  <c r="AN11" i="4"/>
  <c r="AN12" i="4"/>
  <c r="AN13" i="4"/>
  <c r="AO13" i="4" s="1"/>
  <c r="AO6" i="4"/>
  <c r="AO7" i="4"/>
  <c r="AO8" i="4"/>
  <c r="AO9" i="4"/>
  <c r="AO10" i="4"/>
  <c r="AO11" i="4"/>
  <c r="AO12" i="4"/>
  <c r="AM6" i="4"/>
  <c r="AM7" i="4"/>
  <c r="AM8" i="4"/>
  <c r="AM9" i="4"/>
  <c r="AM10" i="4"/>
  <c r="AM11" i="4"/>
  <c r="AM12" i="4"/>
  <c r="AM13" i="4"/>
  <c r="AM5" i="4"/>
  <c r="AK6" i="4"/>
  <c r="AK7" i="4"/>
  <c r="AK8" i="4"/>
  <c r="AK9" i="4"/>
  <c r="AK10" i="4"/>
  <c r="AK11" i="4"/>
  <c r="AK12" i="4"/>
  <c r="AK13" i="4"/>
  <c r="AK5" i="4"/>
  <c r="AJ5" i="4"/>
  <c r="AJ6" i="4"/>
  <c r="AJ7" i="4"/>
  <c r="AJ8" i="4"/>
  <c r="AJ9" i="4"/>
  <c r="AJ10" i="4"/>
  <c r="AJ11" i="4"/>
  <c r="AJ12" i="4"/>
  <c r="AJ13" i="4"/>
  <c r="AI6" i="4"/>
  <c r="AI7" i="4"/>
  <c r="AI8" i="4"/>
  <c r="AI9" i="4"/>
  <c r="AI10" i="4"/>
  <c r="AI11" i="4"/>
  <c r="AI12" i="4"/>
  <c r="AI13" i="4"/>
  <c r="AI5" i="4"/>
  <c r="AH6" i="4"/>
  <c r="AH7" i="4"/>
  <c r="AH8" i="4"/>
  <c r="AH9" i="4"/>
  <c r="AH10" i="4"/>
  <c r="AH11" i="4"/>
  <c r="AH12" i="4"/>
  <c r="AH13" i="4"/>
  <c r="AH5" i="4"/>
  <c r="AG6" i="4"/>
  <c r="AG7" i="4"/>
  <c r="AG8" i="4"/>
  <c r="AG9" i="4"/>
  <c r="AG10" i="4"/>
  <c r="AG11" i="4"/>
  <c r="AG12" i="4"/>
  <c r="AG13" i="4"/>
  <c r="AG5" i="4"/>
  <c r="R12" i="3"/>
  <c r="R13" i="3"/>
  <c r="R11" i="3"/>
  <c r="R7" i="3"/>
  <c r="R10" i="3"/>
  <c r="R9" i="3"/>
  <c r="R8" i="3"/>
  <c r="R6" i="3"/>
  <c r="R5" i="3"/>
  <c r="R4" i="3"/>
  <c r="R3" i="3"/>
  <c r="R2" i="3"/>
  <c r="P3" i="3"/>
  <c r="P4" i="3"/>
  <c r="P5" i="3"/>
  <c r="P6" i="3"/>
  <c r="P7" i="3"/>
  <c r="P8" i="3"/>
  <c r="P2" i="3"/>
  <c r="U2" i="1"/>
  <c r="F23" i="3"/>
  <c r="F21" i="3"/>
  <c r="F20" i="3"/>
  <c r="F19" i="3"/>
  <c r="F22" i="3"/>
  <c r="F18" i="3"/>
  <c r="F11" i="3"/>
  <c r="F14" i="3"/>
  <c r="F13" i="3"/>
  <c r="F12" i="3"/>
  <c r="F10" i="3"/>
  <c r="F9" i="3"/>
  <c r="F5" i="3"/>
  <c r="F6" i="3"/>
  <c r="F4" i="3"/>
  <c r="F3" i="3"/>
  <c r="F2" i="3"/>
  <c r="Q13" i="2"/>
  <c r="Q14" i="2"/>
  <c r="Q12" i="2"/>
  <c r="Q11" i="2"/>
  <c r="M6" i="2"/>
  <c r="M5" i="2"/>
  <c r="M4" i="2"/>
  <c r="M3" i="2"/>
  <c r="I15" i="2"/>
  <c r="I19" i="2"/>
  <c r="I18" i="2"/>
  <c r="I17" i="2"/>
  <c r="I16" i="2"/>
  <c r="I14" i="2"/>
  <c r="I13" i="2"/>
  <c r="I12" i="2"/>
  <c r="I11" i="2"/>
  <c r="I6" i="2"/>
  <c r="I5" i="2"/>
  <c r="I4" i="2"/>
  <c r="I3" i="2"/>
  <c r="I2" i="2"/>
  <c r="S10" i="1"/>
  <c r="N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U7" i="1"/>
  <c r="U6" i="1"/>
  <c r="U5" i="1"/>
  <c r="U4" i="1"/>
  <c r="M1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1" i="1"/>
  <c r="M22" i="1"/>
  <c r="M23" i="1"/>
  <c r="M24" i="1"/>
  <c r="M25" i="1"/>
  <c r="M26" i="1"/>
  <c r="M27" i="1"/>
  <c r="M28" i="1"/>
  <c r="M29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U3" i="1"/>
  <c r="U1" i="1"/>
  <c r="K29" i="1"/>
  <c r="J29" i="1"/>
  <c r="J28" i="1"/>
  <c r="K28" i="1" s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<sst xmlns="http://schemas.openxmlformats.org/spreadsheetml/2006/main" count="819" uniqueCount="260">
  <si>
    <t>Order Date</t>
  </si>
  <si>
    <t>Year</t>
  </si>
  <si>
    <t>Cust Id</t>
  </si>
  <si>
    <t>Region</t>
  </si>
  <si>
    <t>Cust. Name</t>
  </si>
  <si>
    <t>Category</t>
  </si>
  <si>
    <t>Product</t>
  </si>
  <si>
    <t>Price</t>
  </si>
  <si>
    <t>Qty</t>
  </si>
  <si>
    <t>Amount</t>
  </si>
  <si>
    <t>Profit10%</t>
  </si>
  <si>
    <t>NN001</t>
  </si>
  <si>
    <t>East</t>
  </si>
  <si>
    <t>Name1</t>
  </si>
  <si>
    <t>Computer</t>
  </si>
  <si>
    <t>Mouse</t>
  </si>
  <si>
    <t>NN002</t>
  </si>
  <si>
    <t>West</t>
  </si>
  <si>
    <t>Name2</t>
  </si>
  <si>
    <t>Electronic</t>
  </si>
  <si>
    <t>Monitor</t>
  </si>
  <si>
    <t>NN003</t>
  </si>
  <si>
    <t xml:space="preserve">North </t>
  </si>
  <si>
    <t>Name3</t>
  </si>
  <si>
    <t>Art</t>
  </si>
  <si>
    <t>Printer</t>
  </si>
  <si>
    <t>NN004</t>
  </si>
  <si>
    <t>Name4</t>
  </si>
  <si>
    <t>Storage</t>
  </si>
  <si>
    <t>SSD256 GB</t>
  </si>
  <si>
    <t>NN005</t>
  </si>
  <si>
    <t>Name5</t>
  </si>
  <si>
    <t>Mobile</t>
  </si>
  <si>
    <t>HDD256 GB</t>
  </si>
  <si>
    <t>NN006</t>
  </si>
  <si>
    <t>South</t>
  </si>
  <si>
    <t>Name6</t>
  </si>
  <si>
    <t>NN007</t>
  </si>
  <si>
    <t>Name7</t>
  </si>
  <si>
    <t>NN008</t>
  </si>
  <si>
    <t>Name8</t>
  </si>
  <si>
    <t>Scanner</t>
  </si>
  <si>
    <t>NN009</t>
  </si>
  <si>
    <t>Name9</t>
  </si>
  <si>
    <t xml:space="preserve"> keyboard</t>
  </si>
  <si>
    <t>NN010</t>
  </si>
  <si>
    <t>Name10</t>
  </si>
  <si>
    <t>NN011</t>
  </si>
  <si>
    <t>Name11</t>
  </si>
  <si>
    <t>NN012</t>
  </si>
  <si>
    <t>Name12</t>
  </si>
  <si>
    <t>NN013</t>
  </si>
  <si>
    <t>Name13</t>
  </si>
  <si>
    <t>NN014</t>
  </si>
  <si>
    <t>Name14</t>
  </si>
  <si>
    <t>NN015</t>
  </si>
  <si>
    <t>Name15</t>
  </si>
  <si>
    <t>NN016</t>
  </si>
  <si>
    <t>Name16</t>
  </si>
  <si>
    <t>NN017</t>
  </si>
  <si>
    <t>Name17</t>
  </si>
  <si>
    <t>NN018</t>
  </si>
  <si>
    <t>Name18</t>
  </si>
  <si>
    <t>NN019</t>
  </si>
  <si>
    <t>Name19</t>
  </si>
  <si>
    <t>NN020</t>
  </si>
  <si>
    <t>Name20</t>
  </si>
  <si>
    <t>NN021</t>
  </si>
  <si>
    <t>Name21</t>
  </si>
  <si>
    <t>NN022</t>
  </si>
  <si>
    <t>Name22</t>
  </si>
  <si>
    <t>NN023</t>
  </si>
  <si>
    <t>Name23</t>
  </si>
  <si>
    <t>NN024</t>
  </si>
  <si>
    <t>Name24</t>
  </si>
  <si>
    <t>NN025</t>
  </si>
  <si>
    <t>Name25</t>
  </si>
  <si>
    <t>NN026</t>
  </si>
  <si>
    <t>Name26</t>
  </si>
  <si>
    <t>NN027</t>
  </si>
  <si>
    <t>Name27</t>
  </si>
  <si>
    <t>NN028</t>
  </si>
  <si>
    <t>Name28</t>
  </si>
  <si>
    <t>total amt</t>
  </si>
  <si>
    <t>avg.profit</t>
  </si>
  <si>
    <t>East QTY&gt;10 yes no</t>
  </si>
  <si>
    <t>south cat.(printer)OTY&gt;5,yes,no</t>
  </si>
  <si>
    <t>min price</t>
  </si>
  <si>
    <t>max Qty</t>
  </si>
  <si>
    <t>max amt.</t>
  </si>
  <si>
    <t>total pri</t>
  </si>
  <si>
    <t>min Qty</t>
  </si>
  <si>
    <t>west Qty &gt;=10,yes/no</t>
  </si>
  <si>
    <t>west/art/scanner/price&gt;2000</t>
  </si>
  <si>
    <t>east</t>
  </si>
  <si>
    <t>west</t>
  </si>
  <si>
    <t>south</t>
  </si>
  <si>
    <t>art</t>
  </si>
  <si>
    <t>computer</t>
  </si>
  <si>
    <t>mouse</t>
  </si>
  <si>
    <t>employee</t>
  </si>
  <si>
    <t>department</t>
  </si>
  <si>
    <t>gender</t>
  </si>
  <si>
    <t>salary</t>
  </si>
  <si>
    <t>HR</t>
  </si>
  <si>
    <t>IT</t>
  </si>
  <si>
    <t>FINANCE</t>
  </si>
  <si>
    <t>MALE</t>
  </si>
  <si>
    <t>FEMALE</t>
  </si>
  <si>
    <t>t salary</t>
  </si>
  <si>
    <t>SUMIF</t>
  </si>
  <si>
    <t>SUMIFS</t>
  </si>
  <si>
    <t>"M"</t>
  </si>
  <si>
    <t>Amit</t>
  </si>
  <si>
    <t>Maya</t>
  </si>
  <si>
    <t>Mohan</t>
  </si>
  <si>
    <t>Riya</t>
  </si>
  <si>
    <t>Sneha</t>
  </si>
  <si>
    <t>Neha</t>
  </si>
  <si>
    <t>Sales</t>
  </si>
  <si>
    <t>Burger</t>
  </si>
  <si>
    <t>Pizza</t>
  </si>
  <si>
    <t>Pasta</t>
  </si>
  <si>
    <t>burger</t>
  </si>
  <si>
    <t>&gt;5000</t>
  </si>
  <si>
    <t>t sales</t>
  </si>
  <si>
    <t>t Qty</t>
  </si>
  <si>
    <t>sales</t>
  </si>
  <si>
    <t>TS burger</t>
  </si>
  <si>
    <t>TS Pizzza</t>
  </si>
  <si>
    <t>T qty</t>
  </si>
  <si>
    <t>s&gt;5000</t>
  </si>
  <si>
    <t>ts east</t>
  </si>
  <si>
    <t>sales&gt;4000</t>
  </si>
  <si>
    <t>TS Burger</t>
  </si>
  <si>
    <t>Qty&gt;10</t>
  </si>
  <si>
    <t>d average</t>
  </si>
  <si>
    <t>count</t>
  </si>
  <si>
    <t>counta</t>
  </si>
  <si>
    <t>countif</t>
  </si>
  <si>
    <t>countifs</t>
  </si>
  <si>
    <t>product</t>
  </si>
  <si>
    <t>qty</t>
  </si>
  <si>
    <t>price</t>
  </si>
  <si>
    <t>A</t>
  </si>
  <si>
    <t>B</t>
  </si>
  <si>
    <t>C</t>
  </si>
  <si>
    <t>D</t>
  </si>
  <si>
    <t>E</t>
  </si>
  <si>
    <t>xyz</t>
  </si>
  <si>
    <t>count qty</t>
  </si>
  <si>
    <t>count price</t>
  </si>
  <si>
    <t>counta qty</t>
  </si>
  <si>
    <t>count blank price</t>
  </si>
  <si>
    <t>Empl D</t>
  </si>
  <si>
    <t>Name</t>
  </si>
  <si>
    <t>Status</t>
  </si>
  <si>
    <t>Ravi</t>
  </si>
  <si>
    <t>Aman</t>
  </si>
  <si>
    <t>Ritu</t>
  </si>
  <si>
    <t>present</t>
  </si>
  <si>
    <t>absent</t>
  </si>
  <si>
    <t>count present</t>
  </si>
  <si>
    <t>count ravi</t>
  </si>
  <si>
    <t>count absent</t>
  </si>
  <si>
    <t>count name start with R</t>
  </si>
  <si>
    <t>count emp not blank</t>
  </si>
  <si>
    <t>north</t>
  </si>
  <si>
    <t>COUNT NORTH</t>
  </si>
  <si>
    <t>COUNT TRANS NORTH AND PRO=A</t>
  </si>
  <si>
    <t>COUNT SALES&gt;4000</t>
  </si>
  <si>
    <t>COUNT PRODUCT=A AND SALES &gt;=5000</t>
  </si>
  <si>
    <t>REGION =SOUTH AND SALES&lt;4000</t>
  </si>
  <si>
    <t>COUNT NORTH AND B AND SALES&gt;6000</t>
  </si>
  <si>
    <t>STUDENT</t>
  </si>
  <si>
    <t>SUBJECT</t>
  </si>
  <si>
    <t>MARKS</t>
  </si>
  <si>
    <t>ADITI</t>
  </si>
  <si>
    <t>ROHAN</t>
  </si>
  <si>
    <t>NEHA</t>
  </si>
  <si>
    <t>SCIENCE</t>
  </si>
  <si>
    <t>ENGLISH</t>
  </si>
  <si>
    <t>MATH</t>
  </si>
  <si>
    <t>MORE THAN 80 MARKS</t>
  </si>
  <si>
    <t>COUNT MATH</t>
  </si>
  <si>
    <t>NEHA &gt;60</t>
  </si>
  <si>
    <t xml:space="preserve"> ROHAN IN MATH &gt;90</t>
  </si>
  <si>
    <t>STUDENT &lt;50</t>
  </si>
  <si>
    <t>90&gt;=STUDENT &gt;=50</t>
  </si>
  <si>
    <t>Department</t>
  </si>
  <si>
    <t>Salary</t>
  </si>
  <si>
    <t>Bonus</t>
  </si>
  <si>
    <t>City</t>
  </si>
  <si>
    <t>Bhopal</t>
  </si>
  <si>
    <t>Indore</t>
  </si>
  <si>
    <t>Delhi</t>
  </si>
  <si>
    <t>Present</t>
  </si>
  <si>
    <t>Absent</t>
  </si>
  <si>
    <t>SALES</t>
  </si>
  <si>
    <t>AMIT</t>
  </si>
  <si>
    <t>RAVI</t>
  </si>
  <si>
    <t>POOJA</t>
  </si>
  <si>
    <t>KARAN</t>
  </si>
  <si>
    <t>SIMRAN</t>
  </si>
  <si>
    <t>MOHIT</t>
  </si>
  <si>
    <t>if</t>
  </si>
  <si>
    <t>emp from sales</t>
  </si>
  <si>
    <t>present in sales</t>
  </si>
  <si>
    <t>e from bho and pre</t>
  </si>
  <si>
    <t>t salary from sales</t>
  </si>
  <si>
    <t>t salary present</t>
  </si>
  <si>
    <t>t salary HR and bho</t>
  </si>
  <si>
    <t>total bonus pre and del</t>
  </si>
  <si>
    <t>t salary IT PRESENT</t>
  </si>
  <si>
    <t>COUNT e sales bho</t>
  </si>
  <si>
    <t>t salary present from sal</t>
  </si>
  <si>
    <t>count present IT delhi</t>
  </si>
  <si>
    <t>NAME</t>
  </si>
  <si>
    <t>UMA</t>
  </si>
  <si>
    <t>KOMAL</t>
  </si>
  <si>
    <t>VISHWAS</t>
  </si>
  <si>
    <t>RIYA</t>
  </si>
  <si>
    <t>MAYA</t>
  </si>
  <si>
    <t>ISHA</t>
  </si>
  <si>
    <t>P</t>
  </si>
  <si>
    <t>SUN</t>
  </si>
  <si>
    <t>MONTH</t>
  </si>
  <si>
    <t>DECEMBER</t>
  </si>
  <si>
    <t>ATTENDENCE SHEET</t>
  </si>
  <si>
    <t>PRESENT</t>
  </si>
  <si>
    <t>ABSENT</t>
  </si>
  <si>
    <t>HALF DAY</t>
  </si>
  <si>
    <t>TOTAL DAYS</t>
  </si>
  <si>
    <t>LEAVE DAY</t>
  </si>
  <si>
    <t>SALARY (PM)</t>
  </si>
  <si>
    <t>GROSS SALARY</t>
  </si>
  <si>
    <t>PF 12%</t>
  </si>
  <si>
    <t>NET SALARY</t>
  </si>
  <si>
    <t>H</t>
  </si>
  <si>
    <t>L</t>
  </si>
  <si>
    <t>NAINA</t>
  </si>
  <si>
    <t>SIYA</t>
  </si>
  <si>
    <t>NAHA</t>
  </si>
  <si>
    <t>reg,cate,Qty</t>
  </si>
  <si>
    <t>column</t>
  </si>
  <si>
    <t>category</t>
  </si>
  <si>
    <t>North</t>
  </si>
  <si>
    <t>ANS</t>
  </si>
  <si>
    <t>name10</t>
  </si>
  <si>
    <t>pr,qt,am,pro</t>
  </si>
  <si>
    <t>re,prod,qt,prof</t>
  </si>
  <si>
    <t>cusid,pro</t>
  </si>
  <si>
    <t>ALL DETAILS</t>
  </si>
  <si>
    <t>SUMOF PR,AM,PRO</t>
  </si>
  <si>
    <t>pro in east region</t>
  </si>
  <si>
    <t>max pri</t>
  </si>
  <si>
    <t>product in west</t>
  </si>
  <si>
    <t>hlookup</t>
  </si>
  <si>
    <t xml:space="preserve">Qty </t>
  </si>
  <si>
    <t>sales btw 10to40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</si>
</sst>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ernard MT Condensed"/>
      <family val="1"/>
    </font>
    <font>
      <sz val="14"/>
      <color theme="1"/>
      <name val="Bell MT"/>
      <family val="1"/>
    </font>
    <font>
      <sz val="14"/>
      <color rgb="FFFF0000"/>
      <name val="Bell MT"/>
      <family val="1"/>
    </font>
    <font>
      <sz val="14"/>
      <color theme="1"/>
      <name val="Castellar"/>
      <family val="1"/>
    </font>
    <font>
      <sz val="14"/>
      <color theme="1"/>
      <name val="Arial Narrow"/>
      <family val="2"/>
    </font>
    <font>
      <b/>
      <i/>
      <u val="double"/>
      <sz val="36"/>
      <color theme="1"/>
      <name val="Algerian"/>
      <family val="5"/>
    </font>
    <font>
      <sz val="14"/>
      <color theme="1"/>
      <name val="Bahnschrift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2D3D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1" fillId="2" borderId="2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3" xfId="0" applyBorder="1"/>
    <xf numFmtId="0" fontId="0" fillId="0" borderId="4" xfId="0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4" borderId="0" xfId="0" applyFill="1"/>
    <xf numFmtId="0" fontId="0" fillId="10" borderId="5" xfId="0" applyFill="1" applyBorder="1"/>
    <xf numFmtId="0" fontId="0" fillId="9" borderId="5" xfId="0" applyFill="1" applyBorder="1"/>
    <xf numFmtId="0" fontId="0" fillId="6" borderId="5" xfId="0" applyFill="1" applyBorder="1"/>
    <xf numFmtId="0" fontId="0" fillId="3" borderId="5" xfId="0" applyFill="1" applyBorder="1"/>
    <xf numFmtId="0" fontId="0" fillId="13" borderId="5" xfId="0" applyFill="1" applyBorder="1"/>
    <xf numFmtId="0" fontId="0" fillId="12" borderId="5" xfId="0" applyFill="1" applyBorder="1"/>
    <xf numFmtId="0" fontId="0" fillId="9" borderId="6" xfId="0" applyFill="1" applyBorder="1"/>
    <xf numFmtId="0" fontId="0" fillId="3" borderId="6" xfId="0" applyFill="1" applyBorder="1"/>
    <xf numFmtId="0" fontId="0" fillId="12" borderId="6" xfId="0" applyFill="1" applyBorder="1"/>
    <xf numFmtId="0" fontId="0" fillId="9" borderId="0" xfId="0" applyFill="1"/>
    <xf numFmtId="0" fontId="0" fillId="3" borderId="0" xfId="0" applyFill="1"/>
    <xf numFmtId="0" fontId="0" fillId="12" borderId="0" xfId="0" applyFill="1"/>
    <xf numFmtId="0" fontId="7" fillId="0" borderId="1" xfId="0" applyFont="1" applyBorder="1"/>
    <xf numFmtId="0" fontId="7" fillId="16" borderId="1" xfId="0" applyFont="1" applyFill="1" applyBorder="1"/>
    <xf numFmtId="0" fontId="4" fillId="18" borderId="12" xfId="0" applyFont="1" applyFill="1" applyBorder="1"/>
    <xf numFmtId="0" fontId="8" fillId="18" borderId="10" xfId="0" applyFont="1" applyFill="1" applyBorder="1"/>
    <xf numFmtId="0" fontId="8" fillId="18" borderId="11" xfId="0" applyFont="1" applyFill="1" applyBorder="1"/>
    <xf numFmtId="0" fontId="3" fillId="19" borderId="8" xfId="0" applyFont="1" applyFill="1" applyBorder="1"/>
    <xf numFmtId="0" fontId="3" fillId="19" borderId="9" xfId="0" applyFont="1" applyFill="1" applyBorder="1"/>
    <xf numFmtId="0" fontId="3" fillId="9" borderId="0" xfId="0" applyFont="1" applyFill="1"/>
    <xf numFmtId="0" fontId="9" fillId="9" borderId="0" xfId="0" applyFont="1" applyFill="1"/>
    <xf numFmtId="0" fontId="7" fillId="20" borderId="1" xfId="0" applyFont="1" applyFill="1" applyBorder="1"/>
    <xf numFmtId="0" fontId="5" fillId="5" borderId="7" xfId="0" applyFont="1" applyFill="1" applyBorder="1"/>
    <xf numFmtId="0" fontId="6" fillId="5" borderId="7" xfId="0" applyFont="1" applyFill="1" applyBorder="1"/>
    <xf numFmtId="0" fontId="10" fillId="17" borderId="1" xfId="0" applyFont="1" applyFill="1" applyBorder="1"/>
    <xf numFmtId="0" fontId="0" fillId="21" borderId="1" xfId="0" applyFill="1" applyBorder="1"/>
    <xf numFmtId="0" fontId="0" fillId="21" borderId="0" xfId="0" applyFill="1"/>
    <xf numFmtId="0" fontId="0" fillId="2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FF99FF"/>
      </font>
    </dxf>
  </dxfs>
  <tableStyles count="0" defaultTableStyle="TableStyleMedium2" defaultPivotStyle="PivotStyleLight16"/>
  <colors>
    <mruColors>
      <color rgb="FFFF99FF"/>
      <color rgb="FF82D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6038-DA93-4B33-AF03-10739E5A4C59}">
  <dimension ref="A1:AA29"/>
  <sheetViews>
    <sheetView zoomScale="76" zoomScaleNormal="100" workbookViewId="0">
      <selection activeCell="E31" sqref="E31"/>
    </sheetView>
  </sheetViews>
  <sheetFormatPr defaultRowHeight="14.4" x14ac:dyDescent="0.3"/>
  <cols>
    <col min="1" max="1" width="10.33203125" bestFit="1" customWidth="1"/>
    <col min="2" max="2" width="5" bestFit="1" customWidth="1"/>
    <col min="3" max="4" width="6.77734375" bestFit="1" customWidth="1"/>
    <col min="5" max="5" width="10.6640625" bestFit="1" customWidth="1"/>
    <col min="6" max="6" width="9.109375" bestFit="1" customWidth="1"/>
    <col min="7" max="7" width="10.44140625" bestFit="1" customWidth="1"/>
    <col min="8" max="8" width="5.109375" bestFit="1" customWidth="1"/>
    <col min="9" max="9" width="4" bestFit="1" customWidth="1"/>
    <col min="10" max="10" width="7.88671875" bestFit="1" customWidth="1"/>
    <col min="11" max="11" width="9.109375" bestFit="1" customWidth="1"/>
    <col min="12" max="12" width="17.77734375" customWidth="1"/>
    <col min="13" max="13" width="27.33203125" customWidth="1"/>
    <col min="14" max="14" width="18.44140625" customWidth="1"/>
    <col min="15" max="15" width="25.44140625" customWidth="1"/>
    <col min="16" max="16" width="16.21875" customWidth="1"/>
    <col min="17" max="17" width="21.21875" customWidth="1"/>
    <col min="18" max="18" width="9.332031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85</v>
      </c>
      <c r="M1" s="4" t="s">
        <v>86</v>
      </c>
      <c r="N1" s="4" t="s">
        <v>92</v>
      </c>
      <c r="O1" s="4" t="s">
        <v>93</v>
      </c>
      <c r="T1" s="5" t="s">
        <v>83</v>
      </c>
      <c r="U1" s="5">
        <f>SUM(J2:J29)</f>
        <v>780640</v>
      </c>
    </row>
    <row r="2" spans="1:27" x14ac:dyDescent="0.3">
      <c r="A2" s="2">
        <v>45292</v>
      </c>
      <c r="B2" s="3">
        <v>2024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210</v>
      </c>
      <c r="I2" s="3">
        <v>45</v>
      </c>
      <c r="J2" s="3">
        <f>H2*I2</f>
        <v>9450</v>
      </c>
      <c r="K2" s="3">
        <f>J2*10/100</f>
        <v>945</v>
      </c>
      <c r="L2" t="str">
        <f t="shared" ref="L2:L29" si="0">IF(AND(D2="East",I2&gt;10),"yes","no")</f>
        <v>yes</v>
      </c>
      <c r="M2" t="str">
        <f>IF(AND(D2="south",G2="Printer",I2&gt;5),"YES","NO")</f>
        <v>NO</v>
      </c>
      <c r="N2" t="str">
        <f>IF(I3&gt;=10,"yes","no")</f>
        <v>no</v>
      </c>
      <c r="O2" t="str">
        <f>IF(AND(D2="West",F2="Art",G2="Scanner",H2&gt;2000),"TRUE","FALSE")</f>
        <v>FALSE</v>
      </c>
      <c r="T2" s="5" t="s">
        <v>87</v>
      </c>
      <c r="U2" s="5">
        <f>MIN(H2:H29)</f>
        <v>210</v>
      </c>
    </row>
    <row r="3" spans="1:27" x14ac:dyDescent="0.3">
      <c r="A3" s="2">
        <v>45293</v>
      </c>
      <c r="B3" s="3">
        <v>2024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>
        <v>4000</v>
      </c>
      <c r="I3" s="3">
        <v>8</v>
      </c>
      <c r="J3" s="3">
        <f t="shared" ref="J3:J29" si="1">H3*I3</f>
        <v>32000</v>
      </c>
      <c r="K3" s="3">
        <f t="shared" ref="K3:K29" si="2">J3*10/100</f>
        <v>3200</v>
      </c>
      <c r="L3" t="str">
        <f t="shared" si="0"/>
        <v>no</v>
      </c>
      <c r="M3" t="str">
        <f t="shared" ref="M3:M29" si="3">IF(AND(D3="south",G3="Printer",I3&gt;5),"YES","NO")</f>
        <v>NO</v>
      </c>
      <c r="N3" t="str">
        <f t="shared" ref="N3:N29" si="4">IF(I4&gt;=10,"yes","no")</f>
        <v>no</v>
      </c>
      <c r="O3" t="str">
        <f t="shared" ref="O3:O29" si="5">IF(AND(D3="West",F3="Art",G3="Scanner",H3&gt;2000),"TRUE","FALSE")</f>
        <v>FALSE</v>
      </c>
      <c r="T3" s="5" t="s">
        <v>88</v>
      </c>
      <c r="U3" s="5">
        <f>MAX(I2:I29)</f>
        <v>49</v>
      </c>
    </row>
    <row r="4" spans="1:27" x14ac:dyDescent="0.3">
      <c r="A4" s="2">
        <v>45294</v>
      </c>
      <c r="B4" s="3">
        <v>2024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3200</v>
      </c>
      <c r="I4" s="3">
        <v>6</v>
      </c>
      <c r="J4" s="3">
        <f t="shared" si="1"/>
        <v>19200</v>
      </c>
      <c r="K4" s="3">
        <f t="shared" si="2"/>
        <v>1920</v>
      </c>
      <c r="L4" t="str">
        <f t="shared" si="0"/>
        <v>no</v>
      </c>
      <c r="M4" t="str">
        <f t="shared" si="3"/>
        <v>NO</v>
      </c>
      <c r="N4" t="str">
        <f t="shared" si="4"/>
        <v>no</v>
      </c>
      <c r="O4" t="str">
        <f t="shared" si="5"/>
        <v>FALSE</v>
      </c>
      <c r="T4" s="5" t="s">
        <v>84</v>
      </c>
      <c r="U4" s="5">
        <f>AVERAGE(K2:K29)</f>
        <v>2788</v>
      </c>
    </row>
    <row r="5" spans="1:27" x14ac:dyDescent="0.3">
      <c r="A5" s="2">
        <v>45295</v>
      </c>
      <c r="B5" s="3">
        <v>2024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29</v>
      </c>
      <c r="H5" s="3">
        <v>4000</v>
      </c>
      <c r="I5" s="3">
        <v>4</v>
      </c>
      <c r="J5" s="3">
        <f t="shared" si="1"/>
        <v>16000</v>
      </c>
      <c r="K5" s="3">
        <f t="shared" si="2"/>
        <v>1600</v>
      </c>
      <c r="L5" t="str">
        <f t="shared" si="0"/>
        <v>no</v>
      </c>
      <c r="M5" t="str">
        <f t="shared" si="3"/>
        <v>NO</v>
      </c>
      <c r="N5" t="str">
        <f t="shared" si="4"/>
        <v>no</v>
      </c>
      <c r="O5" t="str">
        <f t="shared" si="5"/>
        <v>FALSE</v>
      </c>
      <c r="T5" s="5" t="s">
        <v>89</v>
      </c>
      <c r="U5" s="5">
        <f>MAX(J2:J29)</f>
        <v>127400</v>
      </c>
    </row>
    <row r="6" spans="1:27" x14ac:dyDescent="0.3">
      <c r="A6" s="2">
        <v>45296</v>
      </c>
      <c r="B6" s="3">
        <v>2024</v>
      </c>
      <c r="C6" s="3" t="s">
        <v>30</v>
      </c>
      <c r="D6" s="3" t="s">
        <v>17</v>
      </c>
      <c r="E6" s="3" t="s">
        <v>31</v>
      </c>
      <c r="F6" s="3" t="s">
        <v>32</v>
      </c>
      <c r="G6" s="3" t="s">
        <v>33</v>
      </c>
      <c r="H6" s="3">
        <v>1500</v>
      </c>
      <c r="I6" s="3">
        <v>7</v>
      </c>
      <c r="J6" s="3">
        <f t="shared" si="1"/>
        <v>10500</v>
      </c>
      <c r="K6" s="3">
        <f t="shared" si="2"/>
        <v>1050</v>
      </c>
      <c r="L6" t="str">
        <f t="shared" si="0"/>
        <v>no</v>
      </c>
      <c r="M6" t="str">
        <f t="shared" si="3"/>
        <v>NO</v>
      </c>
      <c r="N6" t="str">
        <f t="shared" si="4"/>
        <v>no</v>
      </c>
      <c r="O6" t="str">
        <f t="shared" si="5"/>
        <v>FALSE</v>
      </c>
      <c r="T6" s="5" t="s">
        <v>90</v>
      </c>
      <c r="U6" s="5">
        <f>SUM(H2:H29)</f>
        <v>75320</v>
      </c>
    </row>
    <row r="7" spans="1:27" x14ac:dyDescent="0.3">
      <c r="A7" s="2">
        <v>45297</v>
      </c>
      <c r="B7" s="3">
        <v>2024</v>
      </c>
      <c r="C7" s="3" t="s">
        <v>34</v>
      </c>
      <c r="D7" s="3" t="s">
        <v>35</v>
      </c>
      <c r="E7" s="3" t="s">
        <v>36</v>
      </c>
      <c r="F7" s="3" t="s">
        <v>14</v>
      </c>
      <c r="G7" s="3" t="s">
        <v>15</v>
      </c>
      <c r="H7" s="3">
        <v>300</v>
      </c>
      <c r="I7" s="3">
        <v>2</v>
      </c>
      <c r="J7" s="3">
        <f t="shared" si="1"/>
        <v>600</v>
      </c>
      <c r="K7" s="3">
        <f t="shared" si="2"/>
        <v>60</v>
      </c>
      <c r="L7" t="str">
        <f t="shared" si="0"/>
        <v>no</v>
      </c>
      <c r="M7" t="str">
        <f t="shared" si="3"/>
        <v>NO</v>
      </c>
      <c r="N7" t="str">
        <f t="shared" si="4"/>
        <v>no</v>
      </c>
      <c r="O7" t="str">
        <f t="shared" si="5"/>
        <v>FALSE</v>
      </c>
      <c r="T7" s="5" t="s">
        <v>91</v>
      </c>
      <c r="U7" s="5">
        <f>MIN(I2:I29)</f>
        <v>2</v>
      </c>
    </row>
    <row r="8" spans="1:27" x14ac:dyDescent="0.3">
      <c r="A8" s="2">
        <v>45298</v>
      </c>
      <c r="B8" s="3">
        <v>2024</v>
      </c>
      <c r="C8" s="3" t="s">
        <v>37</v>
      </c>
      <c r="D8" s="3" t="s">
        <v>22</v>
      </c>
      <c r="E8" s="3" t="s">
        <v>38</v>
      </c>
      <c r="F8" s="3" t="s">
        <v>14</v>
      </c>
      <c r="G8" s="3" t="s">
        <v>25</v>
      </c>
      <c r="H8" s="3">
        <v>4500</v>
      </c>
      <c r="I8" s="3">
        <v>3</v>
      </c>
      <c r="J8" s="3">
        <f t="shared" si="1"/>
        <v>13500</v>
      </c>
      <c r="K8" s="3">
        <f t="shared" si="2"/>
        <v>1350</v>
      </c>
      <c r="L8" t="str">
        <f t="shared" si="0"/>
        <v>no</v>
      </c>
      <c r="M8" t="str">
        <f t="shared" si="3"/>
        <v>NO</v>
      </c>
      <c r="N8" t="str">
        <f t="shared" si="4"/>
        <v>no</v>
      </c>
      <c r="O8" t="str">
        <f t="shared" si="5"/>
        <v>FALSE</v>
      </c>
    </row>
    <row r="9" spans="1:27" x14ac:dyDescent="0.3">
      <c r="A9" s="2">
        <v>45299</v>
      </c>
      <c r="B9" s="3">
        <v>2024</v>
      </c>
      <c r="C9" s="3" t="s">
        <v>39</v>
      </c>
      <c r="D9" s="3" t="s">
        <v>17</v>
      </c>
      <c r="E9" s="3" t="s">
        <v>40</v>
      </c>
      <c r="F9" s="3" t="s">
        <v>24</v>
      </c>
      <c r="G9" s="3" t="s">
        <v>41</v>
      </c>
      <c r="H9" s="3">
        <v>2600</v>
      </c>
      <c r="I9" s="3">
        <v>9</v>
      </c>
      <c r="J9" s="3">
        <f t="shared" si="1"/>
        <v>23400</v>
      </c>
      <c r="K9" s="3">
        <f t="shared" si="2"/>
        <v>2340</v>
      </c>
      <c r="L9" t="str">
        <f t="shared" si="0"/>
        <v>no</v>
      </c>
      <c r="M9" t="str">
        <f t="shared" si="3"/>
        <v>NO</v>
      </c>
      <c r="N9" t="str">
        <f t="shared" si="4"/>
        <v>no</v>
      </c>
      <c r="O9" t="str">
        <f t="shared" si="5"/>
        <v>TRUE</v>
      </c>
    </row>
    <row r="10" spans="1:27" x14ac:dyDescent="0.3">
      <c r="A10" s="2">
        <v>45300</v>
      </c>
      <c r="B10" s="3">
        <v>2024</v>
      </c>
      <c r="C10" s="3" t="s">
        <v>42</v>
      </c>
      <c r="D10" s="3" t="s">
        <v>12</v>
      </c>
      <c r="E10" s="3" t="s">
        <v>43</v>
      </c>
      <c r="F10" s="3" t="s">
        <v>14</v>
      </c>
      <c r="G10" s="3" t="s">
        <v>44</v>
      </c>
      <c r="H10" s="3">
        <v>600</v>
      </c>
      <c r="I10" s="3">
        <v>8</v>
      </c>
      <c r="J10" s="3">
        <f t="shared" si="1"/>
        <v>4800</v>
      </c>
      <c r="K10" s="3">
        <f t="shared" si="2"/>
        <v>480</v>
      </c>
      <c r="L10" t="str">
        <f t="shared" si="0"/>
        <v>no</v>
      </c>
      <c r="M10" t="str">
        <f t="shared" si="3"/>
        <v>NO</v>
      </c>
      <c r="N10" t="str">
        <f t="shared" si="4"/>
        <v>no</v>
      </c>
      <c r="O10" t="str">
        <f t="shared" si="5"/>
        <v>FALSE</v>
      </c>
      <c r="P10" t="s">
        <v>94</v>
      </c>
      <c r="Q10" t="s">
        <v>98</v>
      </c>
      <c r="R10" t="s">
        <v>99</v>
      </c>
      <c r="S10">
        <f>SUMIFS(I2:I29,D2:D29,P10,F2:F29,Q10,G2:G29,R10)</f>
        <v>66</v>
      </c>
    </row>
    <row r="11" spans="1:27" x14ac:dyDescent="0.3">
      <c r="A11" s="2">
        <v>45301</v>
      </c>
      <c r="B11" s="3">
        <v>2024</v>
      </c>
      <c r="C11" s="3" t="s">
        <v>45</v>
      </c>
      <c r="D11" s="3" t="s">
        <v>12</v>
      </c>
      <c r="E11" s="3" t="s">
        <v>46</v>
      </c>
      <c r="F11" s="3" t="s">
        <v>32</v>
      </c>
      <c r="G11" s="3" t="s">
        <v>29</v>
      </c>
      <c r="H11" s="3">
        <v>4000</v>
      </c>
      <c r="I11" s="3">
        <v>7</v>
      </c>
      <c r="J11" s="3">
        <f t="shared" si="1"/>
        <v>28000</v>
      </c>
      <c r="K11" s="3">
        <f t="shared" si="2"/>
        <v>2800</v>
      </c>
      <c r="L11" t="str">
        <f t="shared" si="0"/>
        <v>no</v>
      </c>
      <c r="M11" t="str">
        <f t="shared" si="3"/>
        <v>NO</v>
      </c>
      <c r="N11" t="str">
        <f t="shared" si="4"/>
        <v>no</v>
      </c>
      <c r="O11" t="str">
        <f t="shared" si="5"/>
        <v>FALSE</v>
      </c>
    </row>
    <row r="12" spans="1:27" x14ac:dyDescent="0.3">
      <c r="A12" s="2">
        <v>45302</v>
      </c>
      <c r="B12" s="3">
        <v>2024</v>
      </c>
      <c r="C12" s="3" t="s">
        <v>47</v>
      </c>
      <c r="D12" s="3" t="s">
        <v>12</v>
      </c>
      <c r="E12" s="3" t="s">
        <v>48</v>
      </c>
      <c r="F12" s="3" t="s">
        <v>24</v>
      </c>
      <c r="G12" s="3" t="s">
        <v>25</v>
      </c>
      <c r="H12" s="3">
        <v>4500</v>
      </c>
      <c r="I12" s="3">
        <v>4</v>
      </c>
      <c r="J12" s="3">
        <f t="shared" si="1"/>
        <v>18000</v>
      </c>
      <c r="K12" s="3">
        <f t="shared" si="2"/>
        <v>1800</v>
      </c>
      <c r="L12" t="str">
        <f t="shared" si="0"/>
        <v>no</v>
      </c>
      <c r="M12" t="str">
        <f t="shared" si="3"/>
        <v>NO</v>
      </c>
      <c r="N12" t="str">
        <f t="shared" si="4"/>
        <v>no</v>
      </c>
      <c r="O12" t="str">
        <f t="shared" si="5"/>
        <v>FALSE</v>
      </c>
      <c r="P12" t="s">
        <v>97</v>
      </c>
    </row>
    <row r="13" spans="1:27" x14ac:dyDescent="0.3">
      <c r="A13" s="2">
        <v>45303</v>
      </c>
      <c r="B13" s="3">
        <v>2024</v>
      </c>
      <c r="C13" s="3" t="s">
        <v>49</v>
      </c>
      <c r="D13" s="3" t="s">
        <v>17</v>
      </c>
      <c r="E13" s="3" t="s">
        <v>50</v>
      </c>
      <c r="F13" s="3" t="s">
        <v>28</v>
      </c>
      <c r="G13" s="3" t="s">
        <v>33</v>
      </c>
      <c r="H13" s="3">
        <v>1600</v>
      </c>
      <c r="I13" s="3">
        <v>5</v>
      </c>
      <c r="J13" s="3">
        <f t="shared" si="1"/>
        <v>8000</v>
      </c>
      <c r="K13" s="3">
        <f t="shared" si="2"/>
        <v>800</v>
      </c>
      <c r="L13" t="str">
        <f t="shared" si="0"/>
        <v>no</v>
      </c>
      <c r="M13" t="str">
        <f t="shared" si="3"/>
        <v>NO</v>
      </c>
      <c r="N13" t="str">
        <f t="shared" si="4"/>
        <v>no</v>
      </c>
      <c r="O13" t="str">
        <f t="shared" si="5"/>
        <v>FALSE</v>
      </c>
    </row>
    <row r="14" spans="1:27" x14ac:dyDescent="0.3">
      <c r="A14" s="2">
        <v>45304</v>
      </c>
      <c r="B14" s="3">
        <v>2024</v>
      </c>
      <c r="C14" s="3" t="s">
        <v>51</v>
      </c>
      <c r="D14" s="3" t="s">
        <v>22</v>
      </c>
      <c r="E14" s="3" t="s">
        <v>52</v>
      </c>
      <c r="F14" s="3" t="s">
        <v>24</v>
      </c>
      <c r="G14" s="3" t="s">
        <v>41</v>
      </c>
      <c r="H14" s="3">
        <v>3000</v>
      </c>
      <c r="I14" s="3">
        <v>6</v>
      </c>
      <c r="J14" s="3">
        <f t="shared" si="1"/>
        <v>18000</v>
      </c>
      <c r="K14" s="3">
        <f t="shared" si="2"/>
        <v>1800</v>
      </c>
      <c r="L14" t="str">
        <f t="shared" si="0"/>
        <v>no</v>
      </c>
      <c r="M14" t="str">
        <f t="shared" si="3"/>
        <v>NO</v>
      </c>
      <c r="N14" t="str">
        <f t="shared" si="4"/>
        <v>no</v>
      </c>
      <c r="O14" t="str">
        <f t="shared" si="5"/>
        <v>FALSE</v>
      </c>
    </row>
    <row r="15" spans="1:27" x14ac:dyDescent="0.3">
      <c r="A15" s="2">
        <v>45305</v>
      </c>
      <c r="B15" s="3">
        <v>2024</v>
      </c>
      <c r="C15" s="3" t="s">
        <v>53</v>
      </c>
      <c r="D15" s="3" t="s">
        <v>12</v>
      </c>
      <c r="E15" s="3" t="s">
        <v>54</v>
      </c>
      <c r="F15" s="3" t="s">
        <v>14</v>
      </c>
      <c r="G15" s="3" t="s">
        <v>15</v>
      </c>
      <c r="H15" s="3">
        <v>210</v>
      </c>
      <c r="I15" s="3">
        <v>9</v>
      </c>
      <c r="J15" s="3">
        <f t="shared" si="1"/>
        <v>1890</v>
      </c>
      <c r="K15" s="3">
        <f t="shared" si="2"/>
        <v>189</v>
      </c>
      <c r="L15" t="str">
        <f t="shared" si="0"/>
        <v>no</v>
      </c>
      <c r="M15" t="str">
        <f t="shared" si="3"/>
        <v>NO</v>
      </c>
      <c r="N15" t="str">
        <f t="shared" si="4"/>
        <v>no</v>
      </c>
      <c r="O15" t="str">
        <f t="shared" si="5"/>
        <v>FALSE</v>
      </c>
      <c r="P15" s="47" t="s">
        <v>56</v>
      </c>
      <c r="Q15" s="47" t="s">
        <v>141</v>
      </c>
      <c r="R15" s="47" t="str">
        <f>VLOOKUP(P15,E1:O29,3,0)</f>
        <v>Monitor</v>
      </c>
      <c r="S15" s="47"/>
      <c r="T15" s="47"/>
      <c r="U15" s="47"/>
      <c r="V15" s="47"/>
      <c r="W15" s="47"/>
      <c r="X15" s="47"/>
      <c r="Y15" s="47"/>
      <c r="Z15" s="47"/>
      <c r="AA15" s="47"/>
    </row>
    <row r="16" spans="1:27" x14ac:dyDescent="0.3">
      <c r="A16" s="2">
        <v>45306</v>
      </c>
      <c r="B16" s="3">
        <v>2024</v>
      </c>
      <c r="C16" s="3" t="s">
        <v>55</v>
      </c>
      <c r="D16" s="3" t="s">
        <v>17</v>
      </c>
      <c r="E16" s="3" t="s">
        <v>56</v>
      </c>
      <c r="F16" s="3" t="s">
        <v>19</v>
      </c>
      <c r="G16" s="3" t="s">
        <v>20</v>
      </c>
      <c r="H16" s="3">
        <v>4000</v>
      </c>
      <c r="I16" s="3">
        <v>8</v>
      </c>
      <c r="J16" s="3">
        <f t="shared" si="1"/>
        <v>32000</v>
      </c>
      <c r="K16" s="3">
        <f t="shared" si="2"/>
        <v>3200</v>
      </c>
      <c r="L16" t="str">
        <f t="shared" si="0"/>
        <v>no</v>
      </c>
      <c r="M16" t="str">
        <f t="shared" si="3"/>
        <v>NO</v>
      </c>
      <c r="N16" t="str">
        <f t="shared" si="4"/>
        <v>no</v>
      </c>
      <c r="O16" t="str">
        <f t="shared" si="5"/>
        <v>FALSE</v>
      </c>
      <c r="P16" s="47" t="s">
        <v>39</v>
      </c>
      <c r="Q16" s="47" t="s">
        <v>243</v>
      </c>
      <c r="R16" s="47" t="str" cm="1">
        <f t="array" ref="R16:T16">VLOOKUP(P16,C1:O29,{2,4,7},0)</f>
        <v>West</v>
      </c>
      <c r="S16" s="47" t="str">
        <v>Art</v>
      </c>
      <c r="T16" s="47">
        <v>9</v>
      </c>
      <c r="U16" s="47"/>
      <c r="V16" s="47"/>
      <c r="W16" s="47"/>
      <c r="X16" s="47"/>
      <c r="Y16" s="47"/>
      <c r="Z16" s="47"/>
      <c r="AA16" s="47"/>
    </row>
    <row r="17" spans="1:27" x14ac:dyDescent="0.3">
      <c r="A17" s="2">
        <v>45307</v>
      </c>
      <c r="B17" s="3">
        <v>2024</v>
      </c>
      <c r="C17" s="3" t="s">
        <v>57</v>
      </c>
      <c r="D17" s="3" t="s">
        <v>35</v>
      </c>
      <c r="E17" s="3" t="s">
        <v>58</v>
      </c>
      <c r="F17" s="3" t="s">
        <v>24</v>
      </c>
      <c r="G17" s="3" t="s">
        <v>25</v>
      </c>
      <c r="H17" s="3">
        <v>3200</v>
      </c>
      <c r="I17" s="3">
        <v>7</v>
      </c>
      <c r="J17" s="3">
        <f t="shared" si="1"/>
        <v>22400</v>
      </c>
      <c r="K17" s="3">
        <f t="shared" si="2"/>
        <v>2240</v>
      </c>
      <c r="L17" t="str">
        <f t="shared" si="0"/>
        <v>no</v>
      </c>
      <c r="M17" t="str">
        <f t="shared" si="3"/>
        <v>YES</v>
      </c>
      <c r="N17" t="str">
        <f t="shared" si="4"/>
        <v>yes</v>
      </c>
      <c r="O17" t="str">
        <f t="shared" si="5"/>
        <v>FALSE</v>
      </c>
      <c r="P17" s="47" t="s">
        <v>46</v>
      </c>
      <c r="Q17" s="47" t="s">
        <v>244</v>
      </c>
      <c r="R17" s="47" t="str">
        <f>VLOOKUP($E$11,$E$1:$O$29,COLUMNS($E$1:F1),0)</f>
        <v>Mobile</v>
      </c>
      <c r="S17" s="47" t="str">
        <f>VLOOKUP($E$11,$E$1:$O$29,COLUMNS($E$1:G1),0)</f>
        <v>SSD256 GB</v>
      </c>
      <c r="T17" s="47">
        <f>VLOOKUP($E$11,$E$1:$O$29,COLUMNS($E$1:H1),0)</f>
        <v>4000</v>
      </c>
      <c r="U17" s="47">
        <f>VLOOKUP($E$11,$E$1:$O$29,COLUMNS($E$1:I1),0)</f>
        <v>7</v>
      </c>
      <c r="V17" s="47">
        <f>VLOOKUP($E$11,$E$1:$O$29,COLUMNS($E$1:J1),0)</f>
        <v>28000</v>
      </c>
      <c r="W17" s="47">
        <f>VLOOKUP($E$11,$E$1:$O$29,COLUMNS($E$1:K1),0)</f>
        <v>2800</v>
      </c>
      <c r="X17" s="47" t="str">
        <f>VLOOKUP($E$11,$E$1:$O$29,COLUMNS($E$1:L1),0)</f>
        <v>no</v>
      </c>
      <c r="Y17" s="47" t="str">
        <f>VLOOKUP($E$11,$E$1:$O$29,COLUMNS($E$1:M1),0)</f>
        <v>NO</v>
      </c>
      <c r="Z17" s="47" t="str">
        <f>VLOOKUP($E$11,$E$1:$O$29,COLUMNS($E$1:N1),0)</f>
        <v>no</v>
      </c>
      <c r="AA17" s="47" t="str">
        <f>VLOOKUP($E$11,$E$1:$O$29,COLUMNS($E$1:O1),0)</f>
        <v>FALSE</v>
      </c>
    </row>
    <row r="18" spans="1:27" x14ac:dyDescent="0.3">
      <c r="A18" s="2">
        <v>45308</v>
      </c>
      <c r="B18" s="3">
        <v>2024</v>
      </c>
      <c r="C18" s="3" t="s">
        <v>59</v>
      </c>
      <c r="D18" s="3" t="s">
        <v>22</v>
      </c>
      <c r="E18" s="3" t="s">
        <v>60</v>
      </c>
      <c r="F18" s="3" t="s">
        <v>28</v>
      </c>
      <c r="G18" s="3" t="s">
        <v>29</v>
      </c>
      <c r="H18" s="3">
        <v>4000</v>
      </c>
      <c r="I18" s="3">
        <v>15</v>
      </c>
      <c r="J18" s="3">
        <f t="shared" si="1"/>
        <v>60000</v>
      </c>
      <c r="K18" s="3">
        <f t="shared" si="2"/>
        <v>6000</v>
      </c>
      <c r="L18" t="str">
        <f t="shared" si="0"/>
        <v>no</v>
      </c>
      <c r="M18" t="str">
        <f>IF(AND(D18="south",G18="Printer",I18&gt;5),"YES","NO")</f>
        <v>NO</v>
      </c>
      <c r="N18" t="str">
        <f t="shared" si="4"/>
        <v>no</v>
      </c>
      <c r="O18" t="str">
        <f t="shared" si="5"/>
        <v>FALSE</v>
      </c>
      <c r="P18" s="47" t="s">
        <v>42</v>
      </c>
      <c r="Q18" s="47" t="s">
        <v>245</v>
      </c>
      <c r="R18" s="47">
        <f>VLOOKUP(P18,C1:O29,MATCH(Q18,A1:O1,0),0)</f>
        <v>600</v>
      </c>
      <c r="S18" s="47"/>
      <c r="T18" s="47"/>
      <c r="U18" s="47"/>
      <c r="V18" s="47"/>
      <c r="W18" s="47"/>
      <c r="X18" s="47"/>
      <c r="Y18" s="47"/>
      <c r="Z18" s="47"/>
      <c r="AA18" s="47"/>
    </row>
    <row r="19" spans="1:27" x14ac:dyDescent="0.3">
      <c r="A19" s="2">
        <v>45309</v>
      </c>
      <c r="B19" s="3">
        <v>2024</v>
      </c>
      <c r="C19" s="3" t="s">
        <v>61</v>
      </c>
      <c r="D19" s="3" t="s">
        <v>17</v>
      </c>
      <c r="E19" s="3" t="s">
        <v>62</v>
      </c>
      <c r="F19" s="3" t="s">
        <v>32</v>
      </c>
      <c r="G19" s="3" t="s">
        <v>33</v>
      </c>
      <c r="H19" s="3">
        <v>1500</v>
      </c>
      <c r="I19" s="3">
        <v>4</v>
      </c>
      <c r="J19" s="3">
        <f t="shared" si="1"/>
        <v>6000</v>
      </c>
      <c r="K19" s="3">
        <f t="shared" si="2"/>
        <v>600</v>
      </c>
      <c r="L19" t="str">
        <f t="shared" si="0"/>
        <v>no</v>
      </c>
      <c r="M19" t="str">
        <f t="shared" si="3"/>
        <v>NO</v>
      </c>
      <c r="N19" t="str">
        <f t="shared" si="4"/>
        <v>yes</v>
      </c>
      <c r="O19" t="str">
        <f t="shared" si="5"/>
        <v>FALSE</v>
      </c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spans="1:27" x14ac:dyDescent="0.3">
      <c r="A20" s="2">
        <v>45310</v>
      </c>
      <c r="B20" s="3">
        <v>2024</v>
      </c>
      <c r="C20" s="3" t="s">
        <v>63</v>
      </c>
      <c r="D20" s="3" t="s">
        <v>12</v>
      </c>
      <c r="E20" s="3" t="s">
        <v>64</v>
      </c>
      <c r="F20" s="3" t="s">
        <v>14</v>
      </c>
      <c r="G20" s="3" t="s">
        <v>15</v>
      </c>
      <c r="H20" s="3">
        <v>300</v>
      </c>
      <c r="I20" s="3">
        <v>12</v>
      </c>
      <c r="J20" s="3">
        <f t="shared" si="1"/>
        <v>3600</v>
      </c>
      <c r="K20" s="3">
        <f t="shared" si="2"/>
        <v>360</v>
      </c>
      <c r="L20" t="str">
        <f t="shared" si="0"/>
        <v>yes</v>
      </c>
      <c r="M20" t="str">
        <f t="shared" si="3"/>
        <v>NO</v>
      </c>
      <c r="N20" t="str">
        <f t="shared" si="4"/>
        <v>yes</v>
      </c>
      <c r="O20" t="str">
        <f t="shared" si="5"/>
        <v>FALSE</v>
      </c>
    </row>
    <row r="21" spans="1:27" x14ac:dyDescent="0.3">
      <c r="A21" s="2">
        <v>45311</v>
      </c>
      <c r="B21" s="3">
        <v>2024</v>
      </c>
      <c r="C21" s="3" t="s">
        <v>65</v>
      </c>
      <c r="D21" s="3" t="s">
        <v>12</v>
      </c>
      <c r="E21" s="3" t="s">
        <v>66</v>
      </c>
      <c r="F21" s="3" t="s">
        <v>14</v>
      </c>
      <c r="G21" s="3" t="s">
        <v>25</v>
      </c>
      <c r="H21" s="3">
        <v>4500</v>
      </c>
      <c r="I21" s="3">
        <v>18</v>
      </c>
      <c r="J21" s="3">
        <f t="shared" si="1"/>
        <v>81000</v>
      </c>
      <c r="K21" s="3">
        <f t="shared" si="2"/>
        <v>8100</v>
      </c>
      <c r="L21" t="str">
        <f t="shared" si="0"/>
        <v>yes</v>
      </c>
      <c r="M21" t="str">
        <f t="shared" si="3"/>
        <v>NO</v>
      </c>
      <c r="N21" t="str">
        <f t="shared" si="4"/>
        <v>yes</v>
      </c>
      <c r="O21" t="str">
        <f t="shared" si="5"/>
        <v>FALSE</v>
      </c>
      <c r="P21" s="48" t="s">
        <v>64</v>
      </c>
      <c r="Q21" t="str">
        <f>VLOOKUP(P21,CHOOSE({1,2},E1:E29,C1:C29),2,0)</f>
        <v>NN019</v>
      </c>
    </row>
    <row r="22" spans="1:27" x14ac:dyDescent="0.3">
      <c r="A22" s="2">
        <v>45312</v>
      </c>
      <c r="B22" s="3">
        <v>2024</v>
      </c>
      <c r="C22" s="3" t="s">
        <v>67</v>
      </c>
      <c r="D22" s="3" t="s">
        <v>12</v>
      </c>
      <c r="E22" s="3" t="s">
        <v>68</v>
      </c>
      <c r="F22" s="3" t="s">
        <v>24</v>
      </c>
      <c r="G22" s="3" t="s">
        <v>41</v>
      </c>
      <c r="H22" s="3">
        <v>2600</v>
      </c>
      <c r="I22" s="3">
        <v>49</v>
      </c>
      <c r="J22" s="3">
        <f t="shared" si="1"/>
        <v>127400</v>
      </c>
      <c r="K22" s="3">
        <f t="shared" si="2"/>
        <v>12740</v>
      </c>
      <c r="L22" t="str">
        <f t="shared" si="0"/>
        <v>yes</v>
      </c>
      <c r="M22" t="str">
        <f t="shared" si="3"/>
        <v>NO</v>
      </c>
      <c r="N22" t="str">
        <f t="shared" si="4"/>
        <v>no</v>
      </c>
      <c r="O22" t="str">
        <f t="shared" si="5"/>
        <v>FALSE</v>
      </c>
      <c r="P22" s="48" t="s">
        <v>246</v>
      </c>
      <c r="Q22">
        <f>VLOOKUP(D4,D1:O29,6,0)</f>
        <v>6</v>
      </c>
    </row>
    <row r="23" spans="1:27" x14ac:dyDescent="0.3">
      <c r="A23" s="2">
        <v>45313</v>
      </c>
      <c r="B23" s="3">
        <v>2024</v>
      </c>
      <c r="C23" s="3" t="s">
        <v>69</v>
      </c>
      <c r="D23" s="3" t="s">
        <v>17</v>
      </c>
      <c r="E23" s="3" t="s">
        <v>70</v>
      </c>
      <c r="F23" s="3" t="s">
        <v>14</v>
      </c>
      <c r="G23" s="3" t="s">
        <v>44</v>
      </c>
      <c r="H23" s="3">
        <v>600</v>
      </c>
      <c r="I23" s="3">
        <v>6</v>
      </c>
      <c r="J23" s="3">
        <f t="shared" si="1"/>
        <v>3600</v>
      </c>
      <c r="K23" s="3">
        <f t="shared" si="2"/>
        <v>360</v>
      </c>
      <c r="L23" t="str">
        <f t="shared" si="0"/>
        <v>no</v>
      </c>
      <c r="M23" t="str">
        <f t="shared" si="3"/>
        <v>NO</v>
      </c>
      <c r="N23" t="str">
        <f t="shared" si="4"/>
        <v>no</v>
      </c>
      <c r="O23" t="str">
        <f t="shared" si="5"/>
        <v>FALSE</v>
      </c>
      <c r="P23" s="48" t="s">
        <v>64</v>
      </c>
      <c r="Q23" t="str" cm="1">
        <f t="array" ref="Q23:S23">VLOOKUP(P23,CHOOSE({1,2,3,4},E1:E29,C1:C29,G1:G29,B1:B29),{2,3,4},0)</f>
        <v>NN019</v>
      </c>
      <c r="R23" t="str">
        <v>Mouse</v>
      </c>
      <c r="S23">
        <v>2024</v>
      </c>
    </row>
    <row r="24" spans="1:27" x14ac:dyDescent="0.3">
      <c r="A24" s="2">
        <v>45314</v>
      </c>
      <c r="B24" s="3">
        <v>2024</v>
      </c>
      <c r="C24" s="3" t="s">
        <v>71</v>
      </c>
      <c r="D24" s="3" t="s">
        <v>22</v>
      </c>
      <c r="E24" s="3" t="s">
        <v>72</v>
      </c>
      <c r="F24" s="3" t="s">
        <v>32</v>
      </c>
      <c r="G24" s="3" t="s">
        <v>29</v>
      </c>
      <c r="H24" s="3">
        <v>4000</v>
      </c>
      <c r="I24" s="3">
        <v>8</v>
      </c>
      <c r="J24" s="3">
        <f t="shared" si="1"/>
        <v>32000</v>
      </c>
      <c r="K24" s="3">
        <f t="shared" si="2"/>
        <v>3200</v>
      </c>
      <c r="L24" t="str">
        <f t="shared" si="0"/>
        <v>no</v>
      </c>
      <c r="M24" t="str">
        <f t="shared" si="3"/>
        <v>NO</v>
      </c>
      <c r="N24" t="str">
        <f t="shared" si="4"/>
        <v>no</v>
      </c>
      <c r="O24" t="str">
        <f t="shared" si="5"/>
        <v>FALSE</v>
      </c>
    </row>
    <row r="25" spans="1:27" x14ac:dyDescent="0.3">
      <c r="A25" s="2">
        <v>45315</v>
      </c>
      <c r="B25" s="3">
        <v>2024</v>
      </c>
      <c r="C25" s="3" t="s">
        <v>73</v>
      </c>
      <c r="D25" s="3" t="s">
        <v>12</v>
      </c>
      <c r="E25" s="3" t="s">
        <v>74</v>
      </c>
      <c r="F25" s="3" t="s">
        <v>24</v>
      </c>
      <c r="G25" s="3" t="s">
        <v>25</v>
      </c>
      <c r="H25" s="3">
        <v>3200</v>
      </c>
      <c r="I25" s="3">
        <v>9</v>
      </c>
      <c r="J25" s="3">
        <f t="shared" si="1"/>
        <v>28800</v>
      </c>
      <c r="K25" s="3">
        <f t="shared" si="2"/>
        <v>2880</v>
      </c>
      <c r="L25" t="str">
        <f t="shared" si="0"/>
        <v>no</v>
      </c>
      <c r="M25" t="str">
        <f t="shared" si="3"/>
        <v>NO</v>
      </c>
      <c r="N25" t="str">
        <f t="shared" si="4"/>
        <v>no</v>
      </c>
      <c r="O25" t="str">
        <f t="shared" si="5"/>
        <v>FALSE</v>
      </c>
    </row>
    <row r="26" spans="1:27" x14ac:dyDescent="0.3">
      <c r="A26" s="2">
        <v>45316</v>
      </c>
      <c r="B26" s="3">
        <v>2024</v>
      </c>
      <c r="C26" s="3" t="s">
        <v>75</v>
      </c>
      <c r="D26" s="3" t="s">
        <v>17</v>
      </c>
      <c r="E26" s="3" t="s">
        <v>76</v>
      </c>
      <c r="F26" s="3" t="s">
        <v>28</v>
      </c>
      <c r="G26" s="3" t="s">
        <v>33</v>
      </c>
      <c r="H26" s="3">
        <v>2500</v>
      </c>
      <c r="I26" s="3">
        <v>7</v>
      </c>
      <c r="J26" s="3">
        <f t="shared" si="1"/>
        <v>17500</v>
      </c>
      <c r="K26" s="3">
        <f t="shared" si="2"/>
        <v>1750</v>
      </c>
      <c r="L26" t="str">
        <f t="shared" si="0"/>
        <v>no</v>
      </c>
      <c r="M26" t="str">
        <f t="shared" si="3"/>
        <v>NO</v>
      </c>
      <c r="N26" t="str">
        <f t="shared" si="4"/>
        <v>yes</v>
      </c>
      <c r="O26" t="str">
        <f t="shared" si="5"/>
        <v>FALSE</v>
      </c>
    </row>
    <row r="27" spans="1:27" x14ac:dyDescent="0.3">
      <c r="A27" s="2">
        <v>45317</v>
      </c>
      <c r="B27" s="3">
        <v>2024</v>
      </c>
      <c r="C27" s="3" t="s">
        <v>77</v>
      </c>
      <c r="D27" s="3" t="s">
        <v>35</v>
      </c>
      <c r="E27" s="3" t="s">
        <v>78</v>
      </c>
      <c r="F27" s="3" t="s">
        <v>24</v>
      </c>
      <c r="G27" s="3" t="s">
        <v>41</v>
      </c>
      <c r="H27" s="3">
        <v>3000</v>
      </c>
      <c r="I27" s="3">
        <v>12</v>
      </c>
      <c r="J27" s="3">
        <f t="shared" si="1"/>
        <v>36000</v>
      </c>
      <c r="K27" s="3">
        <f t="shared" si="2"/>
        <v>3600</v>
      </c>
      <c r="L27" t="str">
        <f t="shared" si="0"/>
        <v>no</v>
      </c>
      <c r="M27" t="str">
        <f t="shared" si="3"/>
        <v>NO</v>
      </c>
      <c r="N27" t="str">
        <f t="shared" si="4"/>
        <v>yes</v>
      </c>
      <c r="O27" t="str">
        <f t="shared" si="5"/>
        <v>FALSE</v>
      </c>
    </row>
    <row r="28" spans="1:27" x14ac:dyDescent="0.3">
      <c r="A28" s="2">
        <v>45318</v>
      </c>
      <c r="B28" s="3">
        <v>2024</v>
      </c>
      <c r="C28" s="3" t="s">
        <v>79</v>
      </c>
      <c r="D28" s="3" t="s">
        <v>22</v>
      </c>
      <c r="E28" s="3" t="s">
        <v>80</v>
      </c>
      <c r="F28" s="3" t="s">
        <v>19</v>
      </c>
      <c r="G28" s="3" t="s">
        <v>20</v>
      </c>
      <c r="H28" s="3">
        <v>4500</v>
      </c>
      <c r="I28" s="3">
        <v>14</v>
      </c>
      <c r="J28" s="3">
        <f t="shared" si="1"/>
        <v>63000</v>
      </c>
      <c r="K28" s="3">
        <f t="shared" si="2"/>
        <v>6300</v>
      </c>
      <c r="L28" t="str">
        <f t="shared" si="0"/>
        <v>no</v>
      </c>
      <c r="M28" t="str">
        <f t="shared" si="3"/>
        <v>NO</v>
      </c>
      <c r="N28" t="str">
        <f t="shared" si="4"/>
        <v>yes</v>
      </c>
      <c r="O28" t="str">
        <f t="shared" si="5"/>
        <v>FALSE</v>
      </c>
    </row>
    <row r="29" spans="1:27" x14ac:dyDescent="0.3">
      <c r="A29" s="2">
        <v>45319</v>
      </c>
      <c r="B29" s="3">
        <v>2024</v>
      </c>
      <c r="C29" s="3" t="s">
        <v>81</v>
      </c>
      <c r="D29" s="3" t="s">
        <v>17</v>
      </c>
      <c r="E29" s="3" t="s">
        <v>82</v>
      </c>
      <c r="F29" s="3" t="s">
        <v>24</v>
      </c>
      <c r="G29" s="3" t="s">
        <v>25</v>
      </c>
      <c r="H29" s="3">
        <v>3200</v>
      </c>
      <c r="I29" s="3">
        <v>20</v>
      </c>
      <c r="J29" s="3">
        <f t="shared" si="1"/>
        <v>64000</v>
      </c>
      <c r="K29" s="3">
        <f t="shared" si="2"/>
        <v>6400</v>
      </c>
      <c r="L29" t="str">
        <f t="shared" si="0"/>
        <v>no</v>
      </c>
      <c r="M29" t="str">
        <f t="shared" si="3"/>
        <v>NO</v>
      </c>
      <c r="N29" t="str">
        <f t="shared" si="4"/>
        <v>no</v>
      </c>
      <c r="O29" t="str">
        <f t="shared" si="5"/>
        <v>FALSE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D9B3-D1C7-49EE-9C1B-1EB6EAEDB603}">
  <dimension ref="A1:AD29"/>
  <sheetViews>
    <sheetView tabSelected="1" zoomScale="87" workbookViewId="0">
      <selection activeCell="S15" sqref="S15"/>
    </sheetView>
  </sheetViews>
  <sheetFormatPr defaultRowHeight="14.4" x14ac:dyDescent="0.3"/>
  <cols>
    <col min="1" max="1" width="10.33203125" bestFit="1" customWidth="1"/>
    <col min="2" max="2" width="5" bestFit="1" customWidth="1"/>
    <col min="3" max="4" width="6.77734375" bestFit="1" customWidth="1"/>
    <col min="5" max="5" width="10.6640625" bestFit="1" customWidth="1"/>
    <col min="6" max="6" width="9.44140625" bestFit="1" customWidth="1"/>
    <col min="7" max="7" width="10.44140625" bestFit="1" customWidth="1"/>
    <col min="8" max="8" width="5.21875" bestFit="1" customWidth="1"/>
    <col min="9" max="9" width="4" bestFit="1" customWidth="1"/>
    <col min="10" max="10" width="7.88671875" bestFit="1" customWidth="1"/>
    <col min="11" max="11" width="9.109375" bestFit="1" customWidth="1"/>
    <col min="12" max="12" width="17.33203125" bestFit="1" customWidth="1"/>
    <col min="13" max="13" width="28.6640625" bestFit="1" customWidth="1"/>
    <col min="14" max="14" width="19.44140625" bestFit="1" customWidth="1"/>
    <col min="15" max="15" width="26" bestFit="1" customWidth="1"/>
    <col min="17" max="17" width="17.77734375" customWidth="1"/>
    <col min="18" max="18" width="19.88671875" customWidth="1"/>
    <col min="19" max="19" width="12.109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85</v>
      </c>
      <c r="M1" s="4" t="s">
        <v>86</v>
      </c>
      <c r="N1" s="4" t="s">
        <v>92</v>
      </c>
      <c r="O1" s="4" t="s">
        <v>93</v>
      </c>
      <c r="S1" s="49" t="s">
        <v>247</v>
      </c>
    </row>
    <row r="2" spans="1:30" x14ac:dyDescent="0.3">
      <c r="A2" s="2">
        <v>45292</v>
      </c>
      <c r="B2" s="3">
        <v>2024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210</v>
      </c>
      <c r="I2" s="3">
        <v>45</v>
      </c>
      <c r="J2" s="3">
        <f>H2*I2</f>
        <v>9450</v>
      </c>
      <c r="K2" s="3">
        <f>J2*10/100</f>
        <v>945</v>
      </c>
      <c r="L2" t="str">
        <f t="shared" ref="L2:L29" si="0">IF(AND(D2="East",I2&gt;10),"yes","no")</f>
        <v>yes</v>
      </c>
      <c r="M2" t="str">
        <f>IF(AND(D2="south",G2="Printer",I2&gt;5),"YES","NO")</f>
        <v>NO</v>
      </c>
      <c r="N2" t="str">
        <f>IF(I3&gt;=10,"yes","no")</f>
        <v>no</v>
      </c>
      <c r="O2" t="str">
        <f>IF(AND(D2="West",F2="Art",G2="Scanner",H2&gt;2000),"TRUE","FALSE")</f>
        <v>FALSE</v>
      </c>
    </row>
    <row r="3" spans="1:30" x14ac:dyDescent="0.3">
      <c r="A3" s="2">
        <v>45293</v>
      </c>
      <c r="B3" s="3">
        <v>2024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>
        <v>4000</v>
      </c>
      <c r="I3" s="3">
        <v>8</v>
      </c>
      <c r="J3" s="3">
        <f t="shared" ref="J3:J29" si="1">H3*I3</f>
        <v>32000</v>
      </c>
      <c r="K3" s="3">
        <f t="shared" ref="K3:K29" si="2">J3*10/100</f>
        <v>3200</v>
      </c>
      <c r="L3" t="str">
        <f t="shared" si="0"/>
        <v>no</v>
      </c>
      <c r="M3" t="str">
        <f t="shared" ref="M3:M29" si="3">IF(AND(D3="south",G3="Printer",I3&gt;5),"YES","NO")</f>
        <v>NO</v>
      </c>
      <c r="N3" t="str">
        <f t="shared" ref="N3:N29" si="4">IF(I4&gt;=10,"yes","no")</f>
        <v>no</v>
      </c>
      <c r="O3" t="str">
        <f t="shared" ref="O3:O29" si="5">IF(AND(D3="West",F3="Art",G3="Scanner",H3&gt;2000),"TRUE","FALSE")</f>
        <v>FALSE</v>
      </c>
      <c r="Q3" t="s">
        <v>46</v>
      </c>
      <c r="R3" t="s">
        <v>10</v>
      </c>
      <c r="S3" cm="1">
        <f t="array" ref="S3">_xlfn.XLOOKUP(Q3,E1:E29,_xlfn.XLOOKUP(R3,A1:O1,A1:O29))</f>
        <v>2800</v>
      </c>
    </row>
    <row r="4" spans="1:30" x14ac:dyDescent="0.3">
      <c r="A4" s="2">
        <v>45294</v>
      </c>
      <c r="B4" s="3">
        <v>2024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3200</v>
      </c>
      <c r="I4" s="3">
        <v>6</v>
      </c>
      <c r="J4" s="3">
        <f t="shared" si="1"/>
        <v>19200</v>
      </c>
      <c r="K4" s="3">
        <f t="shared" si="2"/>
        <v>1920</v>
      </c>
      <c r="L4" t="str">
        <f t="shared" si="0"/>
        <v>no</v>
      </c>
      <c r="M4" t="str">
        <f t="shared" si="3"/>
        <v>NO</v>
      </c>
      <c r="N4" t="str">
        <f t="shared" si="4"/>
        <v>no</v>
      </c>
      <c r="O4" t="str">
        <f t="shared" si="5"/>
        <v>FALSE</v>
      </c>
      <c r="Q4" t="s">
        <v>248</v>
      </c>
      <c r="R4" t="s">
        <v>249</v>
      </c>
      <c r="S4">
        <f>SUM(_xlfn.XLOOKUP(Q4,E1:E29,H1:K29))</f>
        <v>34807</v>
      </c>
    </row>
    <row r="5" spans="1:30" x14ac:dyDescent="0.3">
      <c r="A5" s="2">
        <v>45295</v>
      </c>
      <c r="B5" s="3">
        <v>2024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29</v>
      </c>
      <c r="H5" s="3">
        <v>4000</v>
      </c>
      <c r="I5" s="3">
        <v>4</v>
      </c>
      <c r="J5" s="3">
        <f t="shared" si="1"/>
        <v>16000</v>
      </c>
      <c r="K5" s="3">
        <f t="shared" si="2"/>
        <v>1600</v>
      </c>
      <c r="L5" t="str">
        <f t="shared" si="0"/>
        <v>no</v>
      </c>
      <c r="M5" t="str">
        <f t="shared" si="3"/>
        <v>NO</v>
      </c>
      <c r="N5" t="str">
        <f t="shared" si="4"/>
        <v>no</v>
      </c>
      <c r="O5" t="str">
        <f t="shared" si="5"/>
        <v>FALSE</v>
      </c>
      <c r="Q5" t="s">
        <v>52</v>
      </c>
      <c r="R5" t="s">
        <v>250</v>
      </c>
      <c r="S5" t="str" cm="1">
        <f t="array" ref="S5:V5">_xlfn.XLOOKUP(Q5,E1:E29,CHOOSE({1,2,3,4},D1:D29,G1:G29,I1:I29,K1:K29))</f>
        <v xml:space="preserve">North </v>
      </c>
      <c r="T5" t="str">
        <v>Scanner</v>
      </c>
      <c r="U5">
        <v>6</v>
      </c>
      <c r="V5">
        <v>1800</v>
      </c>
    </row>
    <row r="6" spans="1:30" x14ac:dyDescent="0.3">
      <c r="A6" s="2">
        <v>45296</v>
      </c>
      <c r="B6" s="3">
        <v>2024</v>
      </c>
      <c r="C6" s="3" t="s">
        <v>30</v>
      </c>
      <c r="D6" s="3" t="s">
        <v>17</v>
      </c>
      <c r="E6" s="3" t="s">
        <v>31</v>
      </c>
      <c r="F6" s="3" t="s">
        <v>32</v>
      </c>
      <c r="G6" s="3" t="s">
        <v>33</v>
      </c>
      <c r="H6" s="3">
        <v>1500</v>
      </c>
      <c r="I6" s="3">
        <v>7</v>
      </c>
      <c r="J6" s="3">
        <f t="shared" si="1"/>
        <v>10500</v>
      </c>
      <c r="K6" s="3">
        <f t="shared" si="2"/>
        <v>1050</v>
      </c>
      <c r="L6" t="str">
        <f t="shared" si="0"/>
        <v>no</v>
      </c>
      <c r="M6" t="str">
        <f t="shared" si="3"/>
        <v>NO</v>
      </c>
      <c r="N6" t="str">
        <f t="shared" si="4"/>
        <v>no</v>
      </c>
      <c r="O6" t="str">
        <f t="shared" si="5"/>
        <v>FALSE</v>
      </c>
      <c r="Q6" t="s">
        <v>66</v>
      </c>
      <c r="R6" t="s">
        <v>251</v>
      </c>
      <c r="S6" t="str" cm="1">
        <f t="array" ref="S6:T6">_xlfn.XLOOKUP(Q6,E1:E29,CHOOSE({1,2},C1:C29,G1:G29))</f>
        <v>NN020</v>
      </c>
      <c r="T6" t="str">
        <v>Printer</v>
      </c>
    </row>
    <row r="7" spans="1:30" x14ac:dyDescent="0.3">
      <c r="A7" s="2">
        <v>45297</v>
      </c>
      <c r="B7" s="3">
        <v>2024</v>
      </c>
      <c r="C7" s="3" t="s">
        <v>34</v>
      </c>
      <c r="D7" s="3" t="s">
        <v>35</v>
      </c>
      <c r="E7" s="3" t="s">
        <v>36</v>
      </c>
      <c r="F7" s="3" t="s">
        <v>14</v>
      </c>
      <c r="G7" s="3" t="s">
        <v>15</v>
      </c>
      <c r="H7" s="3">
        <v>300</v>
      </c>
      <c r="I7" s="3">
        <v>2</v>
      </c>
      <c r="J7" s="3">
        <f t="shared" si="1"/>
        <v>600</v>
      </c>
      <c r="K7" s="3">
        <f t="shared" si="2"/>
        <v>60</v>
      </c>
      <c r="L7" t="str">
        <f t="shared" si="0"/>
        <v>no</v>
      </c>
      <c r="M7" t="str">
        <f t="shared" si="3"/>
        <v>NO</v>
      </c>
      <c r="N7" t="str">
        <f t="shared" si="4"/>
        <v>no</v>
      </c>
      <c r="O7" t="str">
        <f t="shared" si="5"/>
        <v>FALSE</v>
      </c>
      <c r="Q7" t="s">
        <v>45</v>
      </c>
      <c r="R7" t="s">
        <v>252</v>
      </c>
      <c r="S7" t="str" cm="1">
        <f t="array" ref="S7:AD7">VLOOKUP(Q7,C1:O29,{2,3,4,5,6,7,8,9,10,11,12,13},0)</f>
        <v>East</v>
      </c>
      <c r="T7" t="str">
        <v>Name10</v>
      </c>
      <c r="U7" t="str">
        <v>Mobile</v>
      </c>
      <c r="V7" t="str">
        <v>SSD256 GB</v>
      </c>
      <c r="W7">
        <v>4000</v>
      </c>
      <c r="X7">
        <v>7</v>
      </c>
      <c r="Y7">
        <v>28000</v>
      </c>
      <c r="Z7">
        <v>2800</v>
      </c>
      <c r="AA7" t="str">
        <v>no</v>
      </c>
      <c r="AB7" t="str">
        <v>NO</v>
      </c>
      <c r="AC7" t="str">
        <v>no</v>
      </c>
      <c r="AD7" t="str">
        <v>FALSE</v>
      </c>
    </row>
    <row r="8" spans="1:30" x14ac:dyDescent="0.3">
      <c r="A8" s="2">
        <v>45298</v>
      </c>
      <c r="B8" s="3">
        <v>2024</v>
      </c>
      <c r="C8" s="3" t="s">
        <v>37</v>
      </c>
      <c r="D8" s="3" t="s">
        <v>22</v>
      </c>
      <c r="E8" s="3" t="s">
        <v>38</v>
      </c>
      <c r="F8" s="3" t="s">
        <v>14</v>
      </c>
      <c r="G8" s="3" t="s">
        <v>25</v>
      </c>
      <c r="H8" s="3">
        <v>4500</v>
      </c>
      <c r="I8" s="3">
        <v>3</v>
      </c>
      <c r="J8" s="3">
        <f t="shared" si="1"/>
        <v>13500</v>
      </c>
      <c r="K8" s="3">
        <f t="shared" si="2"/>
        <v>1350</v>
      </c>
      <c r="L8" t="str">
        <f t="shared" si="0"/>
        <v>no</v>
      </c>
      <c r="M8" t="str">
        <f t="shared" si="3"/>
        <v>NO</v>
      </c>
      <c r="N8" t="str">
        <f t="shared" si="4"/>
        <v>no</v>
      </c>
      <c r="O8" t="str">
        <f t="shared" si="5"/>
        <v>FALSE</v>
      </c>
      <c r="Q8" t="s">
        <v>39</v>
      </c>
      <c r="R8" t="s">
        <v>253</v>
      </c>
      <c r="S8">
        <f>SUM(_xlfn.XLOOKUP(Q8,C1:C29,CHOOSE({1,2,3},H1:H29,J1:J29,K1:K29)))</f>
        <v>28340</v>
      </c>
    </row>
    <row r="9" spans="1:30" x14ac:dyDescent="0.3">
      <c r="A9" s="2">
        <v>45299</v>
      </c>
      <c r="B9" s="3">
        <v>2024</v>
      </c>
      <c r="C9" s="3" t="s">
        <v>39</v>
      </c>
      <c r="D9" s="3" t="s">
        <v>17</v>
      </c>
      <c r="E9" s="3" t="s">
        <v>40</v>
      </c>
      <c r="F9" s="3" t="s">
        <v>24</v>
      </c>
      <c r="G9" s="3" t="s">
        <v>41</v>
      </c>
      <c r="H9" s="3">
        <v>2600</v>
      </c>
      <c r="I9" s="3">
        <v>9</v>
      </c>
      <c r="J9" s="3">
        <f t="shared" si="1"/>
        <v>23400</v>
      </c>
      <c r="K9" s="3">
        <f t="shared" si="2"/>
        <v>2340</v>
      </c>
      <c r="L9" t="str">
        <f t="shared" si="0"/>
        <v>no</v>
      </c>
      <c r="M9" t="str">
        <f t="shared" si="3"/>
        <v>NO</v>
      </c>
      <c r="N9" t="str">
        <f t="shared" si="4"/>
        <v>no</v>
      </c>
      <c r="O9" t="str">
        <f t="shared" si="5"/>
        <v>TRUE</v>
      </c>
      <c r="Q9" t="s">
        <v>5</v>
      </c>
      <c r="S9">
        <f>DSUM(A1:O29,I1,Q9:Q10)</f>
        <v>122</v>
      </c>
    </row>
    <row r="10" spans="1:30" x14ac:dyDescent="0.3">
      <c r="A10" s="2">
        <v>45300</v>
      </c>
      <c r="B10" s="3">
        <v>2024</v>
      </c>
      <c r="C10" s="3" t="s">
        <v>42</v>
      </c>
      <c r="D10" s="3" t="s">
        <v>12</v>
      </c>
      <c r="E10" s="3" t="s">
        <v>43</v>
      </c>
      <c r="F10" s="3" t="s">
        <v>14</v>
      </c>
      <c r="G10" s="3" t="s">
        <v>44</v>
      </c>
      <c r="H10" s="3">
        <v>600</v>
      </c>
      <c r="I10" s="3">
        <v>8</v>
      </c>
      <c r="J10" s="3">
        <f t="shared" si="1"/>
        <v>4800</v>
      </c>
      <c r="K10" s="3">
        <f t="shared" si="2"/>
        <v>480</v>
      </c>
      <c r="L10" t="str">
        <f t="shared" si="0"/>
        <v>no</v>
      </c>
      <c r="M10" t="str">
        <f t="shared" si="3"/>
        <v>NO</v>
      </c>
      <c r="N10" t="str">
        <f t="shared" si="4"/>
        <v>no</v>
      </c>
      <c r="O10" t="str">
        <f t="shared" si="5"/>
        <v>FALSE</v>
      </c>
      <c r="Q10" t="s">
        <v>24</v>
      </c>
    </row>
    <row r="11" spans="1:30" x14ac:dyDescent="0.3">
      <c r="A11" s="2">
        <v>45301</v>
      </c>
      <c r="B11" s="3">
        <v>2024</v>
      </c>
      <c r="C11" s="3" t="s">
        <v>45</v>
      </c>
      <c r="D11" s="3" t="s">
        <v>12</v>
      </c>
      <c r="E11" s="3" t="s">
        <v>46</v>
      </c>
      <c r="F11" s="3" t="s">
        <v>32</v>
      </c>
      <c r="G11" s="3" t="s">
        <v>29</v>
      </c>
      <c r="H11" s="3">
        <v>4000</v>
      </c>
      <c r="I11" s="3">
        <v>7</v>
      </c>
      <c r="J11" s="3">
        <f t="shared" si="1"/>
        <v>28000</v>
      </c>
      <c r="K11" s="3">
        <f t="shared" si="2"/>
        <v>2800</v>
      </c>
      <c r="L11" t="str">
        <f t="shared" si="0"/>
        <v>no</v>
      </c>
      <c r="M11" t="str">
        <f t="shared" si="3"/>
        <v>NO</v>
      </c>
      <c r="N11" t="str">
        <f t="shared" si="4"/>
        <v>no</v>
      </c>
      <c r="O11" t="str">
        <f t="shared" si="5"/>
        <v>FALSE</v>
      </c>
      <c r="Q11" t="s">
        <v>254</v>
      </c>
      <c r="S11">
        <f>SUMIF(D1:D29,D2,G1:G29)</f>
        <v>0</v>
      </c>
    </row>
    <row r="12" spans="1:30" x14ac:dyDescent="0.3">
      <c r="A12" s="2">
        <v>45302</v>
      </c>
      <c r="B12" s="3">
        <v>2024</v>
      </c>
      <c r="C12" s="3" t="s">
        <v>47</v>
      </c>
      <c r="D12" s="3" t="s">
        <v>12</v>
      </c>
      <c r="E12" s="3" t="s">
        <v>48</v>
      </c>
      <c r="F12" s="3" t="s">
        <v>24</v>
      </c>
      <c r="G12" s="3" t="s">
        <v>25</v>
      </c>
      <c r="H12" s="3">
        <v>4500</v>
      </c>
      <c r="I12" s="3">
        <v>4</v>
      </c>
      <c r="J12" s="3">
        <f t="shared" si="1"/>
        <v>18000</v>
      </c>
      <c r="K12" s="3">
        <f t="shared" si="2"/>
        <v>1800</v>
      </c>
      <c r="L12" t="str">
        <f t="shared" si="0"/>
        <v>no</v>
      </c>
      <c r="M12" t="str">
        <f t="shared" si="3"/>
        <v>NO</v>
      </c>
      <c r="N12" t="str">
        <f t="shared" si="4"/>
        <v>no</v>
      </c>
      <c r="O12" t="str">
        <f t="shared" si="5"/>
        <v>FALSE</v>
      </c>
      <c r="Q12" t="s">
        <v>255</v>
      </c>
      <c r="R12" t="s">
        <v>98</v>
      </c>
      <c r="S12">
        <f>_xlfn.MAXIFS(H2:H29,F2:F29,"Computer")</f>
        <v>4500</v>
      </c>
    </row>
    <row r="13" spans="1:30" x14ac:dyDescent="0.3">
      <c r="A13" s="2">
        <v>45303</v>
      </c>
      <c r="B13" s="3">
        <v>2024</v>
      </c>
      <c r="C13" s="3" t="s">
        <v>49</v>
      </c>
      <c r="D13" s="3" t="s">
        <v>17</v>
      </c>
      <c r="E13" s="3" t="s">
        <v>50</v>
      </c>
      <c r="F13" s="3" t="s">
        <v>28</v>
      </c>
      <c r="G13" s="3" t="s">
        <v>33</v>
      </c>
      <c r="H13" s="3">
        <v>1600</v>
      </c>
      <c r="I13" s="3">
        <v>5</v>
      </c>
      <c r="J13" s="3">
        <f t="shared" si="1"/>
        <v>8000</v>
      </c>
      <c r="K13" s="3">
        <f t="shared" si="2"/>
        <v>800</v>
      </c>
      <c r="L13" t="str">
        <f t="shared" si="0"/>
        <v>no</v>
      </c>
      <c r="M13" t="str">
        <f t="shared" si="3"/>
        <v>NO</v>
      </c>
      <c r="N13" t="str">
        <f t="shared" si="4"/>
        <v>no</v>
      </c>
      <c r="O13" t="str">
        <f t="shared" si="5"/>
        <v>FALSE</v>
      </c>
      <c r="Q13" t="s">
        <v>256</v>
      </c>
      <c r="R13" t="s">
        <v>257</v>
      </c>
      <c r="S13" t="str">
        <f>HLOOKUP(G1,A1:O30,3,0)</f>
        <v>Monitor</v>
      </c>
    </row>
    <row r="14" spans="1:30" x14ac:dyDescent="0.3">
      <c r="A14" s="2">
        <v>45304</v>
      </c>
      <c r="B14" s="3">
        <v>2024</v>
      </c>
      <c r="C14" s="3" t="s">
        <v>51</v>
      </c>
      <c r="D14" s="3" t="s">
        <v>22</v>
      </c>
      <c r="E14" s="3" t="s">
        <v>52</v>
      </c>
      <c r="F14" s="3" t="s">
        <v>24</v>
      </c>
      <c r="G14" s="3" t="s">
        <v>41</v>
      </c>
      <c r="H14" s="3">
        <v>3000</v>
      </c>
      <c r="I14" s="3">
        <v>6</v>
      </c>
      <c r="J14" s="3">
        <f t="shared" si="1"/>
        <v>18000</v>
      </c>
      <c r="K14" s="3">
        <f t="shared" si="2"/>
        <v>1800</v>
      </c>
      <c r="L14" t="str">
        <f t="shared" si="0"/>
        <v>no</v>
      </c>
      <c r="M14" t="str">
        <f t="shared" si="3"/>
        <v>NO</v>
      </c>
      <c r="N14" t="str">
        <f t="shared" si="4"/>
        <v>no</v>
      </c>
      <c r="O14" t="str">
        <f t="shared" si="5"/>
        <v>FALSE</v>
      </c>
      <c r="Q14" t="s">
        <v>258</v>
      </c>
      <c r="R14" t="s">
        <v>259</v>
      </c>
      <c r="S14">
        <f>COUNTIFS(I2:I29,"&gt;10",I2:I29,"&lt;40")</f>
        <v>6</v>
      </c>
    </row>
    <row r="15" spans="1:30" x14ac:dyDescent="0.3">
      <c r="A15" s="2">
        <v>45305</v>
      </c>
      <c r="B15" s="3">
        <v>2024</v>
      </c>
      <c r="C15" s="3" t="s">
        <v>53</v>
      </c>
      <c r="D15" s="3" t="s">
        <v>12</v>
      </c>
      <c r="E15" s="3" t="s">
        <v>54</v>
      </c>
      <c r="F15" s="3" t="s">
        <v>14</v>
      </c>
      <c r="G15" s="3" t="s">
        <v>15</v>
      </c>
      <c r="H15" s="3">
        <v>210</v>
      </c>
      <c r="I15" s="3">
        <v>9</v>
      </c>
      <c r="J15" s="3">
        <f t="shared" si="1"/>
        <v>1890</v>
      </c>
      <c r="K15" s="3">
        <f t="shared" si="2"/>
        <v>189</v>
      </c>
      <c r="L15" t="str">
        <f t="shared" si="0"/>
        <v>no</v>
      </c>
      <c r="M15" t="str">
        <f t="shared" si="3"/>
        <v>NO</v>
      </c>
      <c r="N15" t="str">
        <f t="shared" si="4"/>
        <v>no</v>
      </c>
      <c r="O15" t="str">
        <f t="shared" si="5"/>
        <v>FALSE</v>
      </c>
      <c r="Q15" t="s">
        <v>56</v>
      </c>
      <c r="R15" t="s">
        <v>7</v>
      </c>
      <c r="S15" cm="1">
        <f t="array" ref="S15">_xlfn.XLOOKUP(Q15,E1:E29,_xlfn.XLOOKUP(R15,A1:O1,A1:O29))</f>
        <v>4000</v>
      </c>
    </row>
    <row r="16" spans="1:30" x14ac:dyDescent="0.3">
      <c r="A16" s="2">
        <v>45306</v>
      </c>
      <c r="B16" s="3">
        <v>2024</v>
      </c>
      <c r="C16" s="3" t="s">
        <v>55</v>
      </c>
      <c r="D16" s="3" t="s">
        <v>17</v>
      </c>
      <c r="E16" s="3" t="s">
        <v>56</v>
      </c>
      <c r="F16" s="3" t="s">
        <v>19</v>
      </c>
      <c r="G16" s="3" t="s">
        <v>20</v>
      </c>
      <c r="H16" s="3">
        <v>4000</v>
      </c>
      <c r="I16" s="3">
        <v>8</v>
      </c>
      <c r="J16" s="3">
        <f t="shared" si="1"/>
        <v>32000</v>
      </c>
      <c r="K16" s="3">
        <f t="shared" si="2"/>
        <v>3200</v>
      </c>
      <c r="L16" t="str">
        <f t="shared" si="0"/>
        <v>no</v>
      </c>
      <c r="M16" t="str">
        <f t="shared" si="3"/>
        <v>NO</v>
      </c>
      <c r="N16" t="str">
        <f t="shared" si="4"/>
        <v>no</v>
      </c>
      <c r="O16" t="str">
        <f t="shared" si="5"/>
        <v>FALSE</v>
      </c>
    </row>
    <row r="17" spans="1:15" x14ac:dyDescent="0.3">
      <c r="A17" s="2">
        <v>45307</v>
      </c>
      <c r="B17" s="3">
        <v>2024</v>
      </c>
      <c r="C17" s="3" t="s">
        <v>57</v>
      </c>
      <c r="D17" s="3" t="s">
        <v>35</v>
      </c>
      <c r="E17" s="3" t="s">
        <v>58</v>
      </c>
      <c r="F17" s="3" t="s">
        <v>24</v>
      </c>
      <c r="G17" s="3" t="s">
        <v>25</v>
      </c>
      <c r="H17" s="3">
        <v>3200</v>
      </c>
      <c r="I17" s="3">
        <v>7</v>
      </c>
      <c r="J17" s="3">
        <f t="shared" si="1"/>
        <v>22400</v>
      </c>
      <c r="K17" s="3">
        <f t="shared" si="2"/>
        <v>2240</v>
      </c>
      <c r="L17" t="str">
        <f t="shared" si="0"/>
        <v>no</v>
      </c>
      <c r="M17" t="str">
        <f t="shared" si="3"/>
        <v>YES</v>
      </c>
      <c r="N17" t="str">
        <f t="shared" si="4"/>
        <v>yes</v>
      </c>
      <c r="O17" t="str">
        <f t="shared" si="5"/>
        <v>FALSE</v>
      </c>
    </row>
    <row r="18" spans="1:15" x14ac:dyDescent="0.3">
      <c r="A18" s="2">
        <v>45308</v>
      </c>
      <c r="B18" s="3">
        <v>2024</v>
      </c>
      <c r="C18" s="3" t="s">
        <v>59</v>
      </c>
      <c r="D18" s="3" t="s">
        <v>22</v>
      </c>
      <c r="E18" s="3" t="s">
        <v>60</v>
      </c>
      <c r="F18" s="3" t="s">
        <v>28</v>
      </c>
      <c r="G18" s="3" t="s">
        <v>29</v>
      </c>
      <c r="H18" s="3">
        <v>4000</v>
      </c>
      <c r="I18" s="3">
        <v>15</v>
      </c>
      <c r="J18" s="3">
        <f t="shared" si="1"/>
        <v>60000</v>
      </c>
      <c r="K18" s="3">
        <f t="shared" si="2"/>
        <v>6000</v>
      </c>
      <c r="L18" t="str">
        <f t="shared" si="0"/>
        <v>no</v>
      </c>
      <c r="M18" t="str">
        <f>IF(AND(D18="south",G18="Printer",I18&gt;5),"YES","NO")</f>
        <v>NO</v>
      </c>
      <c r="N18" t="str">
        <f t="shared" si="4"/>
        <v>no</v>
      </c>
      <c r="O18" t="str">
        <f t="shared" si="5"/>
        <v>FALSE</v>
      </c>
    </row>
    <row r="19" spans="1:15" x14ac:dyDescent="0.3">
      <c r="A19" s="2">
        <v>45309</v>
      </c>
      <c r="B19" s="3">
        <v>2024</v>
      </c>
      <c r="C19" s="3" t="s">
        <v>61</v>
      </c>
      <c r="D19" s="3" t="s">
        <v>17</v>
      </c>
      <c r="E19" s="3" t="s">
        <v>62</v>
      </c>
      <c r="F19" s="3" t="s">
        <v>32</v>
      </c>
      <c r="G19" s="3" t="s">
        <v>33</v>
      </c>
      <c r="H19" s="3">
        <v>1500</v>
      </c>
      <c r="I19" s="3">
        <v>4</v>
      </c>
      <c r="J19" s="3">
        <f t="shared" si="1"/>
        <v>6000</v>
      </c>
      <c r="K19" s="3">
        <f t="shared" si="2"/>
        <v>600</v>
      </c>
      <c r="L19" t="str">
        <f t="shared" si="0"/>
        <v>no</v>
      </c>
      <c r="M19" t="str">
        <f t="shared" si="3"/>
        <v>NO</v>
      </c>
      <c r="N19" t="str">
        <f t="shared" si="4"/>
        <v>yes</v>
      </c>
      <c r="O19" t="str">
        <f t="shared" si="5"/>
        <v>FALSE</v>
      </c>
    </row>
    <row r="20" spans="1:15" x14ac:dyDescent="0.3">
      <c r="A20" s="2">
        <v>45310</v>
      </c>
      <c r="B20" s="3">
        <v>2024</v>
      </c>
      <c r="C20" s="3" t="s">
        <v>63</v>
      </c>
      <c r="D20" s="3" t="s">
        <v>12</v>
      </c>
      <c r="E20" s="3" t="s">
        <v>64</v>
      </c>
      <c r="F20" s="3" t="s">
        <v>14</v>
      </c>
      <c r="G20" s="3" t="s">
        <v>15</v>
      </c>
      <c r="H20" s="3">
        <v>300</v>
      </c>
      <c r="I20" s="3">
        <v>12</v>
      </c>
      <c r="J20" s="3">
        <f t="shared" si="1"/>
        <v>3600</v>
      </c>
      <c r="K20" s="3">
        <f t="shared" si="2"/>
        <v>360</v>
      </c>
      <c r="L20" t="str">
        <f t="shared" si="0"/>
        <v>yes</v>
      </c>
      <c r="M20" t="str">
        <f t="shared" si="3"/>
        <v>NO</v>
      </c>
      <c r="N20" t="str">
        <f t="shared" si="4"/>
        <v>yes</v>
      </c>
      <c r="O20" t="str">
        <f t="shared" si="5"/>
        <v>FALSE</v>
      </c>
    </row>
    <row r="21" spans="1:15" x14ac:dyDescent="0.3">
      <c r="A21" s="2">
        <v>45311</v>
      </c>
      <c r="B21" s="3">
        <v>2024</v>
      </c>
      <c r="C21" s="3" t="s">
        <v>65</v>
      </c>
      <c r="D21" s="3" t="s">
        <v>12</v>
      </c>
      <c r="E21" s="3" t="s">
        <v>66</v>
      </c>
      <c r="F21" s="3" t="s">
        <v>14</v>
      </c>
      <c r="G21" s="3" t="s">
        <v>25</v>
      </c>
      <c r="H21" s="3">
        <v>4500</v>
      </c>
      <c r="I21" s="3">
        <v>18</v>
      </c>
      <c r="J21" s="3">
        <f t="shared" si="1"/>
        <v>81000</v>
      </c>
      <c r="K21" s="3">
        <f t="shared" si="2"/>
        <v>8100</v>
      </c>
      <c r="L21" t="str">
        <f t="shared" si="0"/>
        <v>yes</v>
      </c>
      <c r="M21" t="str">
        <f t="shared" si="3"/>
        <v>NO</v>
      </c>
      <c r="N21" t="str">
        <f t="shared" si="4"/>
        <v>yes</v>
      </c>
      <c r="O21" t="str">
        <f t="shared" si="5"/>
        <v>FALSE</v>
      </c>
    </row>
    <row r="22" spans="1:15" x14ac:dyDescent="0.3">
      <c r="A22" s="2">
        <v>45312</v>
      </c>
      <c r="B22" s="3">
        <v>2024</v>
      </c>
      <c r="C22" s="3" t="s">
        <v>67</v>
      </c>
      <c r="D22" s="3" t="s">
        <v>12</v>
      </c>
      <c r="E22" s="3" t="s">
        <v>68</v>
      </c>
      <c r="F22" s="3" t="s">
        <v>24</v>
      </c>
      <c r="G22" s="3" t="s">
        <v>41</v>
      </c>
      <c r="H22" s="3">
        <v>2600</v>
      </c>
      <c r="I22" s="3">
        <v>49</v>
      </c>
      <c r="J22" s="3">
        <f t="shared" si="1"/>
        <v>127400</v>
      </c>
      <c r="K22" s="3">
        <f t="shared" si="2"/>
        <v>12740</v>
      </c>
      <c r="L22" t="str">
        <f t="shared" si="0"/>
        <v>yes</v>
      </c>
      <c r="M22" t="str">
        <f t="shared" si="3"/>
        <v>NO</v>
      </c>
      <c r="N22" t="str">
        <f t="shared" si="4"/>
        <v>no</v>
      </c>
      <c r="O22" t="str">
        <f t="shared" si="5"/>
        <v>FALSE</v>
      </c>
    </row>
    <row r="23" spans="1:15" x14ac:dyDescent="0.3">
      <c r="A23" s="2">
        <v>45313</v>
      </c>
      <c r="B23" s="3">
        <v>2024</v>
      </c>
      <c r="C23" s="3" t="s">
        <v>69</v>
      </c>
      <c r="D23" s="3" t="s">
        <v>17</v>
      </c>
      <c r="E23" s="3" t="s">
        <v>70</v>
      </c>
      <c r="F23" s="3" t="s">
        <v>14</v>
      </c>
      <c r="G23" s="3" t="s">
        <v>44</v>
      </c>
      <c r="H23" s="3">
        <v>600</v>
      </c>
      <c r="I23" s="3">
        <v>6</v>
      </c>
      <c r="J23" s="3">
        <f t="shared" si="1"/>
        <v>3600</v>
      </c>
      <c r="K23" s="3">
        <f t="shared" si="2"/>
        <v>360</v>
      </c>
      <c r="L23" t="str">
        <f t="shared" si="0"/>
        <v>no</v>
      </c>
      <c r="M23" t="str">
        <f t="shared" si="3"/>
        <v>NO</v>
      </c>
      <c r="N23" t="str">
        <f t="shared" si="4"/>
        <v>no</v>
      </c>
      <c r="O23" t="str">
        <f t="shared" si="5"/>
        <v>FALSE</v>
      </c>
    </row>
    <row r="24" spans="1:15" x14ac:dyDescent="0.3">
      <c r="A24" s="2">
        <v>45314</v>
      </c>
      <c r="B24" s="3">
        <v>2024</v>
      </c>
      <c r="C24" s="3" t="s">
        <v>71</v>
      </c>
      <c r="D24" s="3" t="s">
        <v>22</v>
      </c>
      <c r="E24" s="3" t="s">
        <v>72</v>
      </c>
      <c r="F24" s="3" t="s">
        <v>32</v>
      </c>
      <c r="G24" s="3" t="s">
        <v>29</v>
      </c>
      <c r="H24" s="3">
        <v>4000</v>
      </c>
      <c r="I24" s="3">
        <v>8</v>
      </c>
      <c r="J24" s="3">
        <f t="shared" si="1"/>
        <v>32000</v>
      </c>
      <c r="K24" s="3">
        <f t="shared" si="2"/>
        <v>3200</v>
      </c>
      <c r="L24" t="str">
        <f t="shared" si="0"/>
        <v>no</v>
      </c>
      <c r="M24" t="str">
        <f t="shared" si="3"/>
        <v>NO</v>
      </c>
      <c r="N24" t="str">
        <f t="shared" si="4"/>
        <v>no</v>
      </c>
      <c r="O24" t="str">
        <f t="shared" si="5"/>
        <v>FALSE</v>
      </c>
    </row>
    <row r="25" spans="1:15" x14ac:dyDescent="0.3">
      <c r="A25" s="2">
        <v>45315</v>
      </c>
      <c r="B25" s="3">
        <v>2024</v>
      </c>
      <c r="C25" s="3" t="s">
        <v>73</v>
      </c>
      <c r="D25" s="3" t="s">
        <v>12</v>
      </c>
      <c r="E25" s="3" t="s">
        <v>74</v>
      </c>
      <c r="F25" s="3" t="s">
        <v>24</v>
      </c>
      <c r="G25" s="3" t="s">
        <v>25</v>
      </c>
      <c r="H25" s="3">
        <v>3200</v>
      </c>
      <c r="I25" s="3">
        <v>9</v>
      </c>
      <c r="J25" s="3">
        <f t="shared" si="1"/>
        <v>28800</v>
      </c>
      <c r="K25" s="3">
        <f t="shared" si="2"/>
        <v>2880</v>
      </c>
      <c r="L25" t="str">
        <f t="shared" si="0"/>
        <v>no</v>
      </c>
      <c r="M25" t="str">
        <f t="shared" si="3"/>
        <v>NO</v>
      </c>
      <c r="N25" t="str">
        <f t="shared" si="4"/>
        <v>no</v>
      </c>
      <c r="O25" t="str">
        <f t="shared" si="5"/>
        <v>FALSE</v>
      </c>
    </row>
    <row r="26" spans="1:15" x14ac:dyDescent="0.3">
      <c r="A26" s="2">
        <v>45316</v>
      </c>
      <c r="B26" s="3">
        <v>2024</v>
      </c>
      <c r="C26" s="3" t="s">
        <v>75</v>
      </c>
      <c r="D26" s="3" t="s">
        <v>17</v>
      </c>
      <c r="E26" s="3" t="s">
        <v>76</v>
      </c>
      <c r="F26" s="3" t="s">
        <v>28</v>
      </c>
      <c r="G26" s="3" t="s">
        <v>33</v>
      </c>
      <c r="H26" s="3">
        <v>2500</v>
      </c>
      <c r="I26" s="3">
        <v>7</v>
      </c>
      <c r="J26" s="3">
        <f t="shared" si="1"/>
        <v>17500</v>
      </c>
      <c r="K26" s="3">
        <f t="shared" si="2"/>
        <v>1750</v>
      </c>
      <c r="L26" t="str">
        <f t="shared" si="0"/>
        <v>no</v>
      </c>
      <c r="M26" t="str">
        <f t="shared" si="3"/>
        <v>NO</v>
      </c>
      <c r="N26" t="str">
        <f t="shared" si="4"/>
        <v>yes</v>
      </c>
      <c r="O26" t="str">
        <f t="shared" si="5"/>
        <v>FALSE</v>
      </c>
    </row>
    <row r="27" spans="1:15" x14ac:dyDescent="0.3">
      <c r="A27" s="2">
        <v>45317</v>
      </c>
      <c r="B27" s="3">
        <v>2024</v>
      </c>
      <c r="C27" s="3" t="s">
        <v>77</v>
      </c>
      <c r="D27" s="3" t="s">
        <v>35</v>
      </c>
      <c r="E27" s="3" t="s">
        <v>78</v>
      </c>
      <c r="F27" s="3" t="s">
        <v>24</v>
      </c>
      <c r="G27" s="3" t="s">
        <v>41</v>
      </c>
      <c r="H27" s="3">
        <v>3000</v>
      </c>
      <c r="I27" s="3">
        <v>12</v>
      </c>
      <c r="J27" s="3">
        <f t="shared" si="1"/>
        <v>36000</v>
      </c>
      <c r="K27" s="3">
        <f t="shared" si="2"/>
        <v>3600</v>
      </c>
      <c r="L27" t="str">
        <f t="shared" si="0"/>
        <v>no</v>
      </c>
      <c r="M27" t="str">
        <f t="shared" si="3"/>
        <v>NO</v>
      </c>
      <c r="N27" t="str">
        <f t="shared" si="4"/>
        <v>yes</v>
      </c>
      <c r="O27" t="str">
        <f t="shared" si="5"/>
        <v>FALSE</v>
      </c>
    </row>
    <row r="28" spans="1:15" x14ac:dyDescent="0.3">
      <c r="A28" s="2">
        <v>45318</v>
      </c>
      <c r="B28" s="3">
        <v>2024</v>
      </c>
      <c r="C28" s="3" t="s">
        <v>79</v>
      </c>
      <c r="D28" s="3" t="s">
        <v>22</v>
      </c>
      <c r="E28" s="3" t="s">
        <v>80</v>
      </c>
      <c r="F28" s="3" t="s">
        <v>19</v>
      </c>
      <c r="G28" s="3" t="s">
        <v>20</v>
      </c>
      <c r="H28" s="3">
        <v>4500</v>
      </c>
      <c r="I28" s="3">
        <v>14</v>
      </c>
      <c r="J28" s="3">
        <f t="shared" si="1"/>
        <v>63000</v>
      </c>
      <c r="K28" s="3">
        <f t="shared" si="2"/>
        <v>6300</v>
      </c>
      <c r="L28" t="str">
        <f t="shared" si="0"/>
        <v>no</v>
      </c>
      <c r="M28" t="str">
        <f t="shared" si="3"/>
        <v>NO</v>
      </c>
      <c r="N28" t="str">
        <f t="shared" si="4"/>
        <v>yes</v>
      </c>
      <c r="O28" t="str">
        <f t="shared" si="5"/>
        <v>FALSE</v>
      </c>
    </row>
    <row r="29" spans="1:15" x14ac:dyDescent="0.3">
      <c r="A29" s="2">
        <v>45319</v>
      </c>
      <c r="B29" s="3">
        <v>2024</v>
      </c>
      <c r="C29" s="3" t="s">
        <v>81</v>
      </c>
      <c r="D29" s="3" t="s">
        <v>17</v>
      </c>
      <c r="E29" s="3" t="s">
        <v>82</v>
      </c>
      <c r="F29" s="3" t="s">
        <v>24</v>
      </c>
      <c r="G29" s="3" t="s">
        <v>25</v>
      </c>
      <c r="H29" s="3">
        <v>3200</v>
      </c>
      <c r="I29" s="3">
        <v>20</v>
      </c>
      <c r="J29" s="3">
        <f t="shared" si="1"/>
        <v>64000</v>
      </c>
      <c r="K29" s="3">
        <f t="shared" si="2"/>
        <v>6400</v>
      </c>
      <c r="L29" t="str">
        <f t="shared" si="0"/>
        <v>no</v>
      </c>
      <c r="M29" t="str">
        <f t="shared" si="3"/>
        <v>NO</v>
      </c>
      <c r="N29" t="str">
        <f t="shared" si="4"/>
        <v>no</v>
      </c>
      <c r="O29" t="str">
        <f t="shared" si="5"/>
        <v>FALSE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2887-DEA1-4DE8-A624-948FA81F4FC8}">
  <dimension ref="A1:Q19"/>
  <sheetViews>
    <sheetView workbookViewId="0">
      <selection activeCell="D24" sqref="D24"/>
    </sheetView>
  </sheetViews>
  <sheetFormatPr defaultRowHeight="14.4" x14ac:dyDescent="0.3"/>
  <cols>
    <col min="2" max="2" width="12.44140625" customWidth="1"/>
    <col min="8" max="8" width="10.44140625" customWidth="1"/>
    <col min="16" max="16" width="15.33203125" customWidth="1"/>
  </cols>
  <sheetData>
    <row r="1" spans="1:17" x14ac:dyDescent="0.3">
      <c r="A1" s="6" t="s">
        <v>100</v>
      </c>
      <c r="B1" s="6" t="s">
        <v>101</v>
      </c>
      <c r="C1" s="6" t="s">
        <v>102</v>
      </c>
      <c r="D1" s="6" t="s">
        <v>103</v>
      </c>
    </row>
    <row r="2" spans="1:17" x14ac:dyDescent="0.3">
      <c r="A2" s="3" t="s">
        <v>113</v>
      </c>
      <c r="B2" s="3" t="s">
        <v>104</v>
      </c>
      <c r="C2" s="3" t="s">
        <v>107</v>
      </c>
      <c r="D2" s="3">
        <v>30000</v>
      </c>
      <c r="F2" s="10" t="s">
        <v>110</v>
      </c>
      <c r="G2" s="9"/>
      <c r="H2" s="9" t="s">
        <v>104</v>
      </c>
      <c r="I2" s="9">
        <f>SUMIF(B2:B7,"HR",D2:D7)</f>
        <v>58000</v>
      </c>
      <c r="J2" s="9"/>
      <c r="L2" t="s">
        <v>136</v>
      </c>
    </row>
    <row r="3" spans="1:17" x14ac:dyDescent="0.3">
      <c r="A3" s="3" t="s">
        <v>114</v>
      </c>
      <c r="B3" s="3" t="s">
        <v>104</v>
      </c>
      <c r="C3" s="3" t="s">
        <v>108</v>
      </c>
      <c r="D3" s="3">
        <v>28000</v>
      </c>
      <c r="F3" s="10" t="s">
        <v>111</v>
      </c>
      <c r="G3" s="9" t="s">
        <v>106</v>
      </c>
      <c r="H3" s="9" t="s">
        <v>108</v>
      </c>
      <c r="I3" s="9">
        <f>SUMIFS(D2:D7,B2:B7,"FINANCE",C2:C7,"FEMALE")</f>
        <v>72000</v>
      </c>
      <c r="J3" s="9"/>
      <c r="L3" t="s">
        <v>137</v>
      </c>
      <c r="M3">
        <f>COUNT(A1:D7)</f>
        <v>6</v>
      </c>
    </row>
    <row r="4" spans="1:17" x14ac:dyDescent="0.3">
      <c r="A4" s="3" t="s">
        <v>115</v>
      </c>
      <c r="B4" s="3" t="s">
        <v>105</v>
      </c>
      <c r="C4" s="3" t="s">
        <v>107</v>
      </c>
      <c r="D4" s="3">
        <v>45000</v>
      </c>
      <c r="F4" s="10" t="s">
        <v>110</v>
      </c>
      <c r="G4" s="9"/>
      <c r="H4" s="9" t="s">
        <v>109</v>
      </c>
      <c r="I4" s="9">
        <f>SUMIF(D2:D7,"&gt; 35000")</f>
        <v>122000</v>
      </c>
      <c r="J4" s="9"/>
      <c r="L4" t="s">
        <v>138</v>
      </c>
      <c r="M4">
        <f>COUNTA(A1:D7)</f>
        <v>28</v>
      </c>
    </row>
    <row r="5" spans="1:17" x14ac:dyDescent="0.3">
      <c r="A5" s="3" t="s">
        <v>116</v>
      </c>
      <c r="B5" s="3" t="s">
        <v>106</v>
      </c>
      <c r="C5" s="3" t="s">
        <v>108</v>
      </c>
      <c r="D5" s="3">
        <v>35000</v>
      </c>
      <c r="F5" s="10" t="s">
        <v>111</v>
      </c>
      <c r="G5" s="9" t="s">
        <v>104</v>
      </c>
      <c r="H5" s="9" t="s">
        <v>105</v>
      </c>
      <c r="I5" s="9">
        <f>SUMIF(B2:B7,"HR",D2:D7)+SUMIF(B2:B7,"IT",D2:D7)</f>
        <v>143000</v>
      </c>
      <c r="J5" s="9"/>
      <c r="L5" t="s">
        <v>139</v>
      </c>
      <c r="M5">
        <f>COUNTIF(A1:D7,B3)</f>
        <v>2</v>
      </c>
    </row>
    <row r="6" spans="1:17" x14ac:dyDescent="0.3">
      <c r="A6" s="3" t="s">
        <v>117</v>
      </c>
      <c r="B6" s="3" t="s">
        <v>105</v>
      </c>
      <c r="C6" s="3" t="s">
        <v>108</v>
      </c>
      <c r="D6" s="3">
        <v>40000</v>
      </c>
      <c r="F6" s="10" t="s">
        <v>110</v>
      </c>
      <c r="G6" s="9"/>
      <c r="H6" s="9" t="s">
        <v>112</v>
      </c>
      <c r="I6" s="9">
        <f>SUMIF(A2:A7,"m*",D2:D7)</f>
        <v>73000</v>
      </c>
      <c r="J6" s="9"/>
      <c r="L6" t="s">
        <v>140</v>
      </c>
      <c r="M6">
        <f>COUNTIFS(B1:B7,B2,C1:C7,C2)</f>
        <v>1</v>
      </c>
    </row>
    <row r="7" spans="1:17" x14ac:dyDescent="0.3">
      <c r="A7" s="3" t="s">
        <v>118</v>
      </c>
      <c r="B7" s="3" t="s">
        <v>106</v>
      </c>
      <c r="C7" s="3" t="s">
        <v>108</v>
      </c>
      <c r="D7" s="3">
        <v>37000</v>
      </c>
    </row>
    <row r="10" spans="1:17" x14ac:dyDescent="0.3">
      <c r="F10" s="8"/>
      <c r="G10" s="8"/>
      <c r="H10" s="8"/>
      <c r="I10" s="8"/>
      <c r="J10" s="8"/>
    </row>
    <row r="11" spans="1:17" x14ac:dyDescent="0.3">
      <c r="A11" s="7" t="s">
        <v>6</v>
      </c>
      <c r="B11" s="7" t="s">
        <v>3</v>
      </c>
      <c r="C11" s="7" t="s">
        <v>119</v>
      </c>
      <c r="D11" s="7" t="s">
        <v>8</v>
      </c>
      <c r="F11" s="11" t="s">
        <v>110</v>
      </c>
      <c r="G11" s="12" t="s">
        <v>125</v>
      </c>
      <c r="H11" s="12" t="s">
        <v>123</v>
      </c>
      <c r="I11" s="9">
        <f>SUMIF(A12:A17,"Burger",C12:C17)</f>
        <v>16500</v>
      </c>
      <c r="L11" s="14" t="s">
        <v>141</v>
      </c>
      <c r="M11" s="14" t="s">
        <v>142</v>
      </c>
      <c r="N11" s="14" t="s">
        <v>143</v>
      </c>
      <c r="O11" s="16"/>
      <c r="P11" s="16" t="s">
        <v>150</v>
      </c>
      <c r="Q11" s="16">
        <f>COUNT(M11:M16)</f>
        <v>4</v>
      </c>
    </row>
    <row r="12" spans="1:17" x14ac:dyDescent="0.3">
      <c r="A12" s="3" t="s">
        <v>120</v>
      </c>
      <c r="B12" s="3" t="s">
        <v>94</v>
      </c>
      <c r="C12" s="3">
        <v>5000</v>
      </c>
      <c r="D12" s="3">
        <v>10</v>
      </c>
      <c r="F12" s="11" t="s">
        <v>110</v>
      </c>
      <c r="G12" s="9" t="s">
        <v>125</v>
      </c>
      <c r="H12" s="9" t="s">
        <v>94</v>
      </c>
      <c r="I12" s="9">
        <f>SUMIF(B12:B17,"east",C12:C17)</f>
        <v>15500</v>
      </c>
      <c r="L12" s="16" t="s">
        <v>144</v>
      </c>
      <c r="M12" s="16">
        <v>10</v>
      </c>
      <c r="N12" s="16">
        <v>200</v>
      </c>
      <c r="O12" s="16"/>
      <c r="P12" s="16" t="s">
        <v>151</v>
      </c>
      <c r="Q12" s="16">
        <f>COUNT(N11:N16)</f>
        <v>4</v>
      </c>
    </row>
    <row r="13" spans="1:17" x14ac:dyDescent="0.3">
      <c r="A13" s="3" t="s">
        <v>121</v>
      </c>
      <c r="B13" s="3" t="s">
        <v>95</v>
      </c>
      <c r="C13" s="3">
        <v>7000</v>
      </c>
      <c r="D13" s="3">
        <v>15</v>
      </c>
      <c r="F13" s="11" t="s">
        <v>110</v>
      </c>
      <c r="G13" s="9" t="s">
        <v>126</v>
      </c>
      <c r="H13" s="9" t="s">
        <v>121</v>
      </c>
      <c r="I13" s="9">
        <f>SUMIF(A12:A17,"Pizza",D12:D17)</f>
        <v>29</v>
      </c>
      <c r="L13" s="16" t="s">
        <v>145</v>
      </c>
      <c r="M13" s="16" t="s">
        <v>149</v>
      </c>
      <c r="N13" s="16">
        <v>150</v>
      </c>
      <c r="O13" s="16"/>
      <c r="P13" s="16" t="s">
        <v>152</v>
      </c>
      <c r="Q13" s="16">
        <f>COUNTA(M12:M16)</f>
        <v>5</v>
      </c>
    </row>
    <row r="14" spans="1:17" x14ac:dyDescent="0.3">
      <c r="A14" s="3" t="s">
        <v>120</v>
      </c>
      <c r="B14" s="3" t="s">
        <v>95</v>
      </c>
      <c r="C14" s="3">
        <v>6000</v>
      </c>
      <c r="D14" s="3">
        <v>12</v>
      </c>
      <c r="F14" s="11" t="s">
        <v>110</v>
      </c>
      <c r="G14" s="9" t="s">
        <v>127</v>
      </c>
      <c r="H14" s="9" t="s">
        <v>124</v>
      </c>
      <c r="I14" s="9">
        <f>SUMIF(C12:C17,"&gt;5000")</f>
        <v>25000</v>
      </c>
      <c r="L14" s="16" t="s">
        <v>146</v>
      </c>
      <c r="M14" s="16">
        <v>25</v>
      </c>
      <c r="N14" s="16">
        <v>300</v>
      </c>
      <c r="O14" s="16"/>
      <c r="P14" s="16" t="s">
        <v>153</v>
      </c>
      <c r="Q14" s="16">
        <f>COUNTBLANK(L11:N16)</f>
        <v>1</v>
      </c>
    </row>
    <row r="15" spans="1:17" x14ac:dyDescent="0.3">
      <c r="A15" s="3" t="s">
        <v>122</v>
      </c>
      <c r="B15" s="3" t="s">
        <v>94</v>
      </c>
      <c r="C15" s="3">
        <v>4000</v>
      </c>
      <c r="D15" s="3">
        <v>8</v>
      </c>
      <c r="F15" s="11" t="s">
        <v>111</v>
      </c>
      <c r="G15" s="9" t="s">
        <v>128</v>
      </c>
      <c r="H15" s="9" t="s">
        <v>95</v>
      </c>
      <c r="I15" s="9">
        <f>SUMIFS(C12:C17,A12:A17,"Burger",B12:B17,"west")</f>
        <v>6000</v>
      </c>
      <c r="L15" s="16" t="s">
        <v>147</v>
      </c>
      <c r="M15" s="16">
        <v>0</v>
      </c>
      <c r="N15" s="16">
        <v>400</v>
      </c>
      <c r="O15" s="16"/>
      <c r="P15" s="16"/>
      <c r="Q15" s="16"/>
    </row>
    <row r="16" spans="1:17" x14ac:dyDescent="0.3">
      <c r="A16" s="3" t="s">
        <v>121</v>
      </c>
      <c r="B16" s="3" t="s">
        <v>94</v>
      </c>
      <c r="C16" s="3">
        <v>6500</v>
      </c>
      <c r="D16" s="3">
        <v>14</v>
      </c>
      <c r="F16" s="11" t="s">
        <v>111</v>
      </c>
      <c r="G16" s="9" t="s">
        <v>129</v>
      </c>
      <c r="H16" s="9" t="s">
        <v>94</v>
      </c>
      <c r="I16" s="9">
        <f>SUMIFS(C12:C17,A12:A17,"Pizza",B12:B17,"east")</f>
        <v>6500</v>
      </c>
      <c r="L16" s="16" t="s">
        <v>148</v>
      </c>
      <c r="M16" s="16">
        <v>15</v>
      </c>
      <c r="N16" s="16"/>
      <c r="O16" s="16"/>
      <c r="P16" s="16"/>
      <c r="Q16" s="16"/>
    </row>
    <row r="17" spans="1:9" x14ac:dyDescent="0.3">
      <c r="A17" s="3" t="s">
        <v>120</v>
      </c>
      <c r="B17" s="3" t="s">
        <v>96</v>
      </c>
      <c r="C17" s="3">
        <v>5500</v>
      </c>
      <c r="D17" s="3">
        <v>11</v>
      </c>
      <c r="F17" s="11" t="s">
        <v>111</v>
      </c>
      <c r="G17" s="9" t="s">
        <v>130</v>
      </c>
      <c r="H17" s="9" t="s">
        <v>131</v>
      </c>
      <c r="I17" s="9">
        <f>SUMIFS(D12:D17,C12:C17,"&gt;5000")</f>
        <v>52</v>
      </c>
    </row>
    <row r="18" spans="1:9" x14ac:dyDescent="0.3">
      <c r="F18" s="11" t="s">
        <v>111</v>
      </c>
      <c r="G18" s="9" t="s">
        <v>132</v>
      </c>
      <c r="H18" s="9" t="s">
        <v>133</v>
      </c>
      <c r="I18" s="9">
        <f>SUMIFS(C12:C17,B12:B17,"east",C12:C17,"&gt;4000")</f>
        <v>11500</v>
      </c>
    </row>
    <row r="19" spans="1:9" x14ac:dyDescent="0.3">
      <c r="F19" s="11" t="s">
        <v>111</v>
      </c>
      <c r="G19" s="9" t="s">
        <v>134</v>
      </c>
      <c r="H19" s="9" t="s">
        <v>135</v>
      </c>
      <c r="I19" s="9">
        <f>SUMIFS(C12:C17,A12:A17,"Burger",D12:D17,"&gt;10")</f>
        <v>11500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BEFC-3D06-4EAF-8923-0CE062476788}">
  <dimension ref="A1:R24"/>
  <sheetViews>
    <sheetView workbookViewId="0">
      <selection activeCell="G7" sqref="G7"/>
    </sheetView>
  </sheetViews>
  <sheetFormatPr defaultRowHeight="14.4" x14ac:dyDescent="0.3"/>
  <cols>
    <col min="5" max="5" width="36.5546875" customWidth="1"/>
    <col min="10" max="11" width="12.109375" customWidth="1"/>
    <col min="16" max="16" width="7.44140625" customWidth="1"/>
    <col min="17" max="17" width="24.109375" customWidth="1"/>
  </cols>
  <sheetData>
    <row r="1" spans="1:18" x14ac:dyDescent="0.3">
      <c r="A1" s="14" t="s">
        <v>154</v>
      </c>
      <c r="B1" s="14" t="s">
        <v>155</v>
      </c>
      <c r="C1" s="22" t="s">
        <v>156</v>
      </c>
      <c r="D1" s="31"/>
      <c r="E1" s="28"/>
      <c r="F1" s="13"/>
      <c r="I1" s="20" t="s">
        <v>155</v>
      </c>
      <c r="J1" s="20" t="s">
        <v>189</v>
      </c>
      <c r="K1" s="20" t="s">
        <v>156</v>
      </c>
      <c r="L1" s="20" t="s">
        <v>190</v>
      </c>
      <c r="M1" s="20" t="s">
        <v>191</v>
      </c>
      <c r="N1" s="20" t="s">
        <v>192</v>
      </c>
      <c r="O1" s="21"/>
      <c r="P1" s="19" t="s">
        <v>205</v>
      </c>
      <c r="Q1" s="19"/>
      <c r="R1" s="19"/>
    </row>
    <row r="2" spans="1:18" x14ac:dyDescent="0.3">
      <c r="A2" s="13">
        <v>101</v>
      </c>
      <c r="B2" s="13" t="s">
        <v>157</v>
      </c>
      <c r="C2" s="23" t="s">
        <v>160</v>
      </c>
      <c r="D2" s="31"/>
      <c r="E2" s="28" t="s">
        <v>162</v>
      </c>
      <c r="F2" s="13">
        <f>COUNTIF(C1:C6,C5)</f>
        <v>3</v>
      </c>
      <c r="I2" s="19" t="s">
        <v>199</v>
      </c>
      <c r="J2" s="19" t="s">
        <v>198</v>
      </c>
      <c r="K2" s="19" t="s">
        <v>196</v>
      </c>
      <c r="L2" s="19">
        <v>20000</v>
      </c>
      <c r="M2" s="19">
        <v>2000</v>
      </c>
      <c r="N2" s="19" t="s">
        <v>193</v>
      </c>
      <c r="O2" s="21"/>
      <c r="P2" s="19" t="str">
        <f t="shared" ref="P2:P8" si="0">IF(L2&gt;20000,"true","false")</f>
        <v>false</v>
      </c>
      <c r="Q2" s="19" t="s">
        <v>162</v>
      </c>
      <c r="R2" s="19">
        <f>COUNTIF(K2:K8,K2)</f>
        <v>5</v>
      </c>
    </row>
    <row r="3" spans="1:18" x14ac:dyDescent="0.3">
      <c r="A3" s="13">
        <v>102</v>
      </c>
      <c r="B3" s="13" t="s">
        <v>118</v>
      </c>
      <c r="C3" s="23" t="s">
        <v>161</v>
      </c>
      <c r="D3" s="31"/>
      <c r="E3" s="28" t="s">
        <v>163</v>
      </c>
      <c r="F3" s="13">
        <f>COUNTIF(B1:B6,B2)</f>
        <v>2</v>
      </c>
      <c r="I3" s="19" t="s">
        <v>179</v>
      </c>
      <c r="J3" s="19" t="s">
        <v>104</v>
      </c>
      <c r="K3" s="19" t="s">
        <v>197</v>
      </c>
      <c r="L3" s="19">
        <v>25000</v>
      </c>
      <c r="M3" s="19">
        <v>3000</v>
      </c>
      <c r="N3" s="19" t="s">
        <v>194</v>
      </c>
      <c r="O3" s="21"/>
      <c r="P3" s="19" t="str">
        <f t="shared" si="0"/>
        <v>true</v>
      </c>
      <c r="Q3" s="19" t="s">
        <v>206</v>
      </c>
      <c r="R3" s="19">
        <f>COUNTIF(J2:J8,J2)</f>
        <v>3</v>
      </c>
    </row>
    <row r="4" spans="1:18" x14ac:dyDescent="0.3">
      <c r="A4" s="13">
        <v>103</v>
      </c>
      <c r="B4" s="13" t="s">
        <v>158</v>
      </c>
      <c r="C4" s="23" t="s">
        <v>160</v>
      </c>
      <c r="D4" s="31"/>
      <c r="E4" s="28" t="s">
        <v>164</v>
      </c>
      <c r="F4" s="13">
        <f>COUNTIF(C1:C6,C3)</f>
        <v>2</v>
      </c>
      <c r="I4" s="19" t="s">
        <v>200</v>
      </c>
      <c r="J4" s="19" t="s">
        <v>198</v>
      </c>
      <c r="K4" s="19" t="s">
        <v>196</v>
      </c>
      <c r="L4" s="19">
        <v>18000</v>
      </c>
      <c r="M4" s="19">
        <v>1500</v>
      </c>
      <c r="N4" s="19" t="s">
        <v>193</v>
      </c>
      <c r="O4" s="21"/>
      <c r="P4" s="19" t="str">
        <f t="shared" si="0"/>
        <v>false</v>
      </c>
      <c r="Q4" s="19" t="s">
        <v>207</v>
      </c>
      <c r="R4" s="19">
        <f>COUNTIFS(K2:K8,K2,J2:J8,J2)</f>
        <v>2</v>
      </c>
    </row>
    <row r="5" spans="1:18" x14ac:dyDescent="0.3">
      <c r="A5" s="13">
        <v>104</v>
      </c>
      <c r="B5" s="13" t="s">
        <v>159</v>
      </c>
      <c r="C5" s="23" t="s">
        <v>160</v>
      </c>
      <c r="D5" s="31"/>
      <c r="E5" s="28" t="s">
        <v>165</v>
      </c>
      <c r="F5" s="13">
        <f>COUNTIF(B2:B6,"R*")</f>
        <v>3</v>
      </c>
      <c r="I5" s="19" t="s">
        <v>201</v>
      </c>
      <c r="J5" s="19" t="s">
        <v>105</v>
      </c>
      <c r="K5" s="19" t="s">
        <v>196</v>
      </c>
      <c r="L5" s="19">
        <v>30000</v>
      </c>
      <c r="M5" s="19">
        <v>4000</v>
      </c>
      <c r="N5" s="19" t="s">
        <v>195</v>
      </c>
      <c r="O5" s="21"/>
      <c r="P5" s="19" t="str">
        <f t="shared" si="0"/>
        <v>true</v>
      </c>
      <c r="Q5" s="19" t="s">
        <v>208</v>
      </c>
      <c r="R5" s="19">
        <f>COUNTIFS(N2:N8,N2,K2:K8,K2)</f>
        <v>3</v>
      </c>
    </row>
    <row r="6" spans="1:18" x14ac:dyDescent="0.3">
      <c r="A6" s="13">
        <v>105</v>
      </c>
      <c r="B6" s="13" t="s">
        <v>157</v>
      </c>
      <c r="C6" s="23" t="s">
        <v>161</v>
      </c>
      <c r="D6" s="31"/>
      <c r="E6" s="28" t="s">
        <v>166</v>
      </c>
      <c r="F6" s="13">
        <f>COUNTA(C2:C6)</f>
        <v>5</v>
      </c>
      <c r="I6" s="19" t="s">
        <v>202</v>
      </c>
      <c r="J6" s="19" t="s">
        <v>104</v>
      </c>
      <c r="K6" s="19" t="s">
        <v>196</v>
      </c>
      <c r="L6" s="19">
        <v>22000</v>
      </c>
      <c r="M6" s="19">
        <v>2000</v>
      </c>
      <c r="N6" s="19" t="s">
        <v>193</v>
      </c>
      <c r="O6" s="21"/>
      <c r="P6" s="19" t="str">
        <f t="shared" si="0"/>
        <v>true</v>
      </c>
      <c r="Q6" s="19" t="s">
        <v>209</v>
      </c>
      <c r="R6" s="19">
        <f>SUMIF(J2:J8,J2,L2:L8)</f>
        <v>59000</v>
      </c>
    </row>
    <row r="7" spans="1:18" x14ac:dyDescent="0.3">
      <c r="I7" s="19" t="s">
        <v>203</v>
      </c>
      <c r="J7" s="19" t="s">
        <v>198</v>
      </c>
      <c r="K7" s="19" t="s">
        <v>197</v>
      </c>
      <c r="L7" s="19">
        <v>21000</v>
      </c>
      <c r="M7" s="19">
        <v>2500</v>
      </c>
      <c r="N7" s="19" t="s">
        <v>194</v>
      </c>
      <c r="O7" s="21"/>
      <c r="P7" s="19" t="str">
        <f t="shared" si="0"/>
        <v>true</v>
      </c>
      <c r="Q7" s="19" t="s">
        <v>210</v>
      </c>
      <c r="R7" s="19">
        <f>SUMIF(K2:K8,K2,L2:L8)</f>
        <v>118000</v>
      </c>
    </row>
    <row r="8" spans="1:18" x14ac:dyDescent="0.3">
      <c r="I8" s="19" t="s">
        <v>204</v>
      </c>
      <c r="J8" s="19" t="s">
        <v>105</v>
      </c>
      <c r="K8" s="19" t="s">
        <v>196</v>
      </c>
      <c r="L8" s="19">
        <v>28000</v>
      </c>
      <c r="M8" s="19">
        <v>3500</v>
      </c>
      <c r="N8" s="19" t="s">
        <v>195</v>
      </c>
      <c r="O8" s="21"/>
      <c r="P8" s="19" t="str">
        <f t="shared" si="0"/>
        <v>true</v>
      </c>
      <c r="Q8" s="19" t="s">
        <v>211</v>
      </c>
      <c r="R8" s="19">
        <f>SUMIFS(L2:L8,J2:J8,J3,N2:N8,N2)</f>
        <v>22000</v>
      </c>
    </row>
    <row r="9" spans="1:18" x14ac:dyDescent="0.3">
      <c r="A9" s="15" t="s">
        <v>3</v>
      </c>
      <c r="B9" s="15" t="s">
        <v>6</v>
      </c>
      <c r="C9" s="24" t="s">
        <v>119</v>
      </c>
      <c r="D9" s="32"/>
      <c r="E9" s="29" t="s">
        <v>168</v>
      </c>
      <c r="F9" s="5">
        <f>COUNTIF(A10:A15,A10)</f>
        <v>3</v>
      </c>
      <c r="I9" s="19"/>
      <c r="J9" s="19"/>
      <c r="K9" s="19"/>
      <c r="L9" s="19"/>
      <c r="M9" s="19"/>
      <c r="N9" s="19"/>
      <c r="O9" s="21"/>
      <c r="P9" s="19"/>
      <c r="Q9" s="19" t="s">
        <v>212</v>
      </c>
      <c r="R9" s="19">
        <f>SUMIFS(M2:M8,K2:K8,K2,N2:N8,N5)</f>
        <v>7500</v>
      </c>
    </row>
    <row r="10" spans="1:18" x14ac:dyDescent="0.3">
      <c r="A10" s="5" t="s">
        <v>167</v>
      </c>
      <c r="B10" s="5" t="s">
        <v>144</v>
      </c>
      <c r="C10" s="25">
        <v>5000</v>
      </c>
      <c r="D10" s="32"/>
      <c r="E10" s="29" t="s">
        <v>169</v>
      </c>
      <c r="F10" s="5">
        <f>COUNTIFS(A10:A15,A10,B10:B15,B10)</f>
        <v>2</v>
      </c>
      <c r="I10" s="19"/>
      <c r="J10" s="19"/>
      <c r="K10" s="19"/>
      <c r="L10" s="19"/>
      <c r="M10" s="19"/>
      <c r="N10" s="19"/>
      <c r="O10" s="21"/>
      <c r="P10" s="19"/>
      <c r="Q10" s="19" t="s">
        <v>213</v>
      </c>
      <c r="R10" s="19">
        <f>SUMIFS(L2:L8,J2:J8,J5,K2:K8,K2)</f>
        <v>58000</v>
      </c>
    </row>
    <row r="11" spans="1:18" x14ac:dyDescent="0.3">
      <c r="A11" s="5" t="s">
        <v>96</v>
      </c>
      <c r="B11" s="5" t="s">
        <v>145</v>
      </c>
      <c r="C11" s="25">
        <v>3000</v>
      </c>
      <c r="D11" s="32"/>
      <c r="E11" s="29" t="s">
        <v>170</v>
      </c>
      <c r="F11" s="5">
        <f>COUNTIF(C10:C15,"&gt;4000")</f>
        <v>4</v>
      </c>
      <c r="I11" s="19"/>
      <c r="J11" s="19"/>
      <c r="K11" s="19"/>
      <c r="L11" s="19"/>
      <c r="M11" s="19"/>
      <c r="N11" s="19"/>
      <c r="O11" s="21"/>
      <c r="P11" s="19"/>
      <c r="Q11" s="19" t="s">
        <v>214</v>
      </c>
      <c r="R11" s="19">
        <f>COUNTIFS(J2:J8,J2,N2:N8,N2)</f>
        <v>2</v>
      </c>
    </row>
    <row r="12" spans="1:18" x14ac:dyDescent="0.3">
      <c r="A12" s="5" t="s">
        <v>167</v>
      </c>
      <c r="B12" s="5" t="s">
        <v>144</v>
      </c>
      <c r="C12" s="25">
        <v>6000</v>
      </c>
      <c r="D12" s="32"/>
      <c r="E12" s="29" t="s">
        <v>171</v>
      </c>
      <c r="F12" s="5">
        <f>COUNTIFS(B10:B15,B10,C10:C15,"&gt;=5000")</f>
        <v>3</v>
      </c>
      <c r="I12" s="19"/>
      <c r="J12" s="19"/>
      <c r="K12" s="19"/>
      <c r="L12" s="19"/>
      <c r="M12" s="19"/>
      <c r="N12" s="19"/>
      <c r="O12" s="21"/>
      <c r="P12" s="19"/>
      <c r="Q12" s="19" t="s">
        <v>215</v>
      </c>
      <c r="R12" s="19">
        <f>SUMIFS(L2:L8,K2:K8,K2,J2:J8,J2,N2:N8,N2)</f>
        <v>38000</v>
      </c>
    </row>
    <row r="13" spans="1:18" x14ac:dyDescent="0.3">
      <c r="A13" s="5" t="s">
        <v>94</v>
      </c>
      <c r="B13" s="5" t="s">
        <v>146</v>
      </c>
      <c r="C13" s="25">
        <v>2000</v>
      </c>
      <c r="D13" s="32"/>
      <c r="E13" s="29" t="s">
        <v>172</v>
      </c>
      <c r="F13" s="5">
        <f>COUNTIFS(A10:A15,A11,C10:C15,"&lt;4000")</f>
        <v>1</v>
      </c>
      <c r="I13" s="19"/>
      <c r="J13" s="19"/>
      <c r="K13" s="19"/>
      <c r="L13" s="19"/>
      <c r="M13" s="19"/>
      <c r="N13" s="19"/>
      <c r="O13" s="21"/>
      <c r="P13" s="19"/>
      <c r="Q13" s="19" t="s">
        <v>216</v>
      </c>
      <c r="R13" s="19">
        <f>COUNTIFS(K2:K8,K2,J2:J8,J5,N2:N8,N5)</f>
        <v>2</v>
      </c>
    </row>
    <row r="14" spans="1:18" x14ac:dyDescent="0.3">
      <c r="A14" s="5" t="s">
        <v>167</v>
      </c>
      <c r="B14" s="5" t="s">
        <v>145</v>
      </c>
      <c r="C14" s="25">
        <v>7000</v>
      </c>
      <c r="D14" s="32"/>
      <c r="E14" s="29" t="s">
        <v>173</v>
      </c>
      <c r="F14" s="5">
        <f>COUNTIFS(A10:A15,A10,B10:B15,B11,C10:C15,"&gt;6000")</f>
        <v>1</v>
      </c>
    </row>
    <row r="15" spans="1:18" x14ac:dyDescent="0.3">
      <c r="A15" s="5" t="s">
        <v>96</v>
      </c>
      <c r="B15" s="5" t="s">
        <v>144</v>
      </c>
      <c r="C15" s="25">
        <v>5000</v>
      </c>
      <c r="D15" s="32"/>
      <c r="E15" s="29"/>
      <c r="F15" s="5"/>
    </row>
    <row r="18" spans="1:6" x14ac:dyDescent="0.3">
      <c r="A18" s="17" t="s">
        <v>174</v>
      </c>
      <c r="B18" s="17" t="s">
        <v>175</v>
      </c>
      <c r="C18" s="26" t="s">
        <v>176</v>
      </c>
      <c r="D18" s="33"/>
      <c r="E18" s="30" t="s">
        <v>183</v>
      </c>
      <c r="F18" s="18">
        <f>COUNTIF(C19:C24,"&gt;80")</f>
        <v>3</v>
      </c>
    </row>
    <row r="19" spans="1:6" x14ac:dyDescent="0.3">
      <c r="A19" s="18" t="s">
        <v>177</v>
      </c>
      <c r="B19" s="18" t="s">
        <v>182</v>
      </c>
      <c r="C19" s="27">
        <v>78</v>
      </c>
      <c r="D19" s="33"/>
      <c r="E19" s="30" t="s">
        <v>184</v>
      </c>
      <c r="F19" s="18">
        <f>COUNTIF(B19:B24,B19)</f>
        <v>3</v>
      </c>
    </row>
    <row r="20" spans="1:6" x14ac:dyDescent="0.3">
      <c r="A20" s="18" t="s">
        <v>178</v>
      </c>
      <c r="B20" s="18" t="s">
        <v>180</v>
      </c>
      <c r="C20" s="27">
        <v>90</v>
      </c>
      <c r="D20" s="33"/>
      <c r="E20" s="30" t="s">
        <v>185</v>
      </c>
      <c r="F20" s="18">
        <f>COUNTIFS(A19:A24,A21,C19:C24,"&gt;60")</f>
        <v>1</v>
      </c>
    </row>
    <row r="21" spans="1:6" x14ac:dyDescent="0.3">
      <c r="A21" s="18" t="s">
        <v>179</v>
      </c>
      <c r="B21" s="18" t="s">
        <v>182</v>
      </c>
      <c r="C21" s="27">
        <v>55</v>
      </c>
      <c r="D21" s="33"/>
      <c r="E21" s="30" t="s">
        <v>186</v>
      </c>
      <c r="F21" s="18">
        <f>COUNTIFS(A19:A24,A20,B19:B24,B19,C19:C24,"&gt;90")</f>
        <v>1</v>
      </c>
    </row>
    <row r="22" spans="1:6" x14ac:dyDescent="0.3">
      <c r="A22" s="18" t="s">
        <v>178</v>
      </c>
      <c r="B22" s="18" t="s">
        <v>182</v>
      </c>
      <c r="C22" s="27">
        <v>92</v>
      </c>
      <c r="D22" s="33"/>
      <c r="E22" s="30" t="s">
        <v>187</v>
      </c>
      <c r="F22" s="18">
        <f>COUNTIF(C19:C24,"&lt;50")</f>
        <v>1</v>
      </c>
    </row>
    <row r="23" spans="1:6" x14ac:dyDescent="0.3">
      <c r="A23" s="18" t="s">
        <v>179</v>
      </c>
      <c r="B23" s="18" t="s">
        <v>181</v>
      </c>
      <c r="C23" s="27">
        <v>81</v>
      </c>
      <c r="D23" s="33"/>
      <c r="E23" s="30" t="s">
        <v>188</v>
      </c>
      <c r="F23" s="18">
        <f>COUNTIFS(C19:C24,"&gt;=50",C19:C24,"&lt;=90")</f>
        <v>4</v>
      </c>
    </row>
    <row r="24" spans="1:6" x14ac:dyDescent="0.3">
      <c r="A24" s="18" t="s">
        <v>177</v>
      </c>
      <c r="B24" s="18" t="s">
        <v>180</v>
      </c>
      <c r="C24" s="27">
        <v>49</v>
      </c>
      <c r="D24" s="33"/>
      <c r="E24" s="30"/>
      <c r="F24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FF99-0DD1-4A21-9263-EBF48FD73F5C}">
  <dimension ref="A1:AO13"/>
  <sheetViews>
    <sheetView zoomScale="81" workbookViewId="0">
      <selection activeCell="AN17" sqref="AN17"/>
    </sheetView>
  </sheetViews>
  <sheetFormatPr defaultRowHeight="14.4" x14ac:dyDescent="0.3"/>
  <cols>
    <col min="1" max="1" width="16.5546875" customWidth="1"/>
    <col min="2" max="2" width="6.109375" customWidth="1"/>
    <col min="3" max="3" width="3.44140625" customWidth="1"/>
    <col min="4" max="4" width="3.109375" customWidth="1"/>
    <col min="5" max="5" width="2.88671875" customWidth="1"/>
    <col min="6" max="6" width="2.6640625" customWidth="1"/>
    <col min="7" max="8" width="3" customWidth="1"/>
    <col min="9" max="9" width="6.6640625" customWidth="1"/>
    <col min="10" max="10" width="3.109375" customWidth="1"/>
    <col min="11" max="15" width="3.6640625" bestFit="1" customWidth="1"/>
    <col min="16" max="16" width="7.21875" customWidth="1"/>
    <col min="17" max="22" width="3.6640625" bestFit="1" customWidth="1"/>
    <col min="23" max="23" width="6.6640625" customWidth="1"/>
    <col min="24" max="29" width="3.6640625" bestFit="1" customWidth="1"/>
    <col min="30" max="30" width="6.88671875" customWidth="1"/>
    <col min="31" max="32" width="3.6640625" bestFit="1" customWidth="1"/>
    <col min="33" max="33" width="12.21875" customWidth="1"/>
    <col min="36" max="36" width="11.5546875" customWidth="1"/>
    <col min="37" max="37" width="11.21875" customWidth="1"/>
    <col min="38" max="38" width="12.44140625" customWidth="1"/>
    <col min="39" max="39" width="13.44140625" customWidth="1"/>
    <col min="40" max="40" width="11.77734375" customWidth="1"/>
    <col min="41" max="41" width="11.44140625" customWidth="1"/>
  </cols>
  <sheetData>
    <row r="1" spans="1:41" ht="26.4" customHeight="1" x14ac:dyDescent="0.35">
      <c r="A1" s="37" t="s">
        <v>226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</row>
    <row r="2" spans="1:41" ht="52.8" customHeight="1" x14ac:dyDescent="0.95">
      <c r="A2" s="38" t="s">
        <v>227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 t="s">
        <v>228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</row>
    <row r="3" spans="1:41" ht="24" customHeight="1" thickBot="1" x14ac:dyDescent="0.4">
      <c r="A3" s="36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</row>
    <row r="4" spans="1:41" ht="18" x14ac:dyDescent="0.35">
      <c r="A4" s="44" t="s">
        <v>217</v>
      </c>
      <c r="B4" s="45" t="s">
        <v>225</v>
      </c>
      <c r="C4" s="44">
        <v>2</v>
      </c>
      <c r="D4" s="44">
        <v>3</v>
      </c>
      <c r="E4" s="44">
        <v>4</v>
      </c>
      <c r="F4" s="44">
        <v>5</v>
      </c>
      <c r="G4" s="44">
        <v>6</v>
      </c>
      <c r="H4" s="44">
        <v>7</v>
      </c>
      <c r="I4" s="45" t="s">
        <v>225</v>
      </c>
      <c r="J4" s="44">
        <v>9</v>
      </c>
      <c r="K4" s="44">
        <v>10</v>
      </c>
      <c r="L4" s="44">
        <v>11</v>
      </c>
      <c r="M4" s="44">
        <v>12</v>
      </c>
      <c r="N4" s="44">
        <v>13</v>
      </c>
      <c r="O4" s="44">
        <v>14</v>
      </c>
      <c r="P4" s="45" t="s">
        <v>225</v>
      </c>
      <c r="Q4" s="44">
        <v>16</v>
      </c>
      <c r="R4" s="44">
        <v>17</v>
      </c>
      <c r="S4" s="44">
        <v>18</v>
      </c>
      <c r="T4" s="44">
        <v>19</v>
      </c>
      <c r="U4" s="44">
        <v>20</v>
      </c>
      <c r="V4" s="44">
        <v>21</v>
      </c>
      <c r="W4" s="45" t="s">
        <v>225</v>
      </c>
      <c r="X4" s="44">
        <v>23</v>
      </c>
      <c r="Y4" s="44">
        <v>24</v>
      </c>
      <c r="Z4" s="44">
        <v>25</v>
      </c>
      <c r="AA4" s="44">
        <v>26</v>
      </c>
      <c r="AB4" s="44">
        <v>27</v>
      </c>
      <c r="AC4" s="44">
        <v>28</v>
      </c>
      <c r="AD4" s="45" t="s">
        <v>225</v>
      </c>
      <c r="AE4" s="44">
        <v>30</v>
      </c>
      <c r="AF4" s="44">
        <v>31</v>
      </c>
      <c r="AG4" s="7" t="s">
        <v>229</v>
      </c>
      <c r="AH4" s="7" t="s">
        <v>230</v>
      </c>
      <c r="AI4" s="7" t="s">
        <v>231</v>
      </c>
      <c r="AJ4" s="7" t="s">
        <v>232</v>
      </c>
      <c r="AK4" s="7" t="s">
        <v>233</v>
      </c>
      <c r="AL4" s="7" t="s">
        <v>234</v>
      </c>
      <c r="AM4" s="7" t="s">
        <v>235</v>
      </c>
      <c r="AN4" s="7" t="s">
        <v>236</v>
      </c>
      <c r="AO4" s="7" t="s">
        <v>237</v>
      </c>
    </row>
    <row r="5" spans="1:41" ht="18" x14ac:dyDescent="0.35">
      <c r="A5" s="46" t="s">
        <v>220</v>
      </c>
      <c r="B5" s="43"/>
      <c r="C5" s="34" t="s">
        <v>224</v>
      </c>
      <c r="D5" s="34" t="s">
        <v>224</v>
      </c>
      <c r="E5" s="34" t="s">
        <v>224</v>
      </c>
      <c r="F5" s="34" t="s">
        <v>224</v>
      </c>
      <c r="G5" s="34" t="s">
        <v>224</v>
      </c>
      <c r="H5" s="34" t="s">
        <v>224</v>
      </c>
      <c r="I5" s="43"/>
      <c r="J5" s="34" t="s">
        <v>224</v>
      </c>
      <c r="K5" s="34" t="s">
        <v>224</v>
      </c>
      <c r="L5" s="34" t="s">
        <v>224</v>
      </c>
      <c r="M5" s="34" t="s">
        <v>224</v>
      </c>
      <c r="N5" s="34" t="s">
        <v>224</v>
      </c>
      <c r="O5" s="34" t="s">
        <v>224</v>
      </c>
      <c r="P5" s="43"/>
      <c r="Q5" s="34" t="s">
        <v>224</v>
      </c>
      <c r="R5" s="34" t="s">
        <v>224</v>
      </c>
      <c r="S5" s="34" t="s">
        <v>224</v>
      </c>
      <c r="T5" s="35" t="s">
        <v>144</v>
      </c>
      <c r="U5" s="34" t="s">
        <v>224</v>
      </c>
      <c r="V5" s="34" t="s">
        <v>224</v>
      </c>
      <c r="W5" s="43"/>
      <c r="X5" s="34" t="s">
        <v>224</v>
      </c>
      <c r="Y5" s="34" t="s">
        <v>224</v>
      </c>
      <c r="Z5" s="34" t="s">
        <v>224</v>
      </c>
      <c r="AA5" s="34" t="s">
        <v>224</v>
      </c>
      <c r="AB5" s="34" t="s">
        <v>224</v>
      </c>
      <c r="AC5" s="34" t="s">
        <v>239</v>
      </c>
      <c r="AD5" s="43"/>
      <c r="AE5" s="34" t="s">
        <v>224</v>
      </c>
      <c r="AF5" s="34" t="s">
        <v>224</v>
      </c>
      <c r="AG5" s="3">
        <f>COUNTIF(C5:AF5,"P")</f>
        <v>24</v>
      </c>
      <c r="AH5" s="3">
        <f>COUNTIF(C5:AF5,"A")</f>
        <v>1</v>
      </c>
      <c r="AI5" s="3">
        <f>COUNTIF(C5:AF5,"H")</f>
        <v>0</v>
      </c>
      <c r="AJ5" s="3">
        <f>COUNTA(B5:AF5)+COUNTBLANK(B5:AF5)</f>
        <v>31</v>
      </c>
      <c r="AK5" s="3">
        <f>COUNTIF(C5:AF5,"L")</f>
        <v>1</v>
      </c>
      <c r="AL5" s="3">
        <v>17506</v>
      </c>
      <c r="AM5" s="3">
        <f>(AL5/AJ5)*(AG5+AI5/2+AK5+5)</f>
        <v>16941.290322580648</v>
      </c>
      <c r="AN5" s="3">
        <f>AL5*(12/100)</f>
        <v>2100.7199999999998</v>
      </c>
      <c r="AO5" s="3">
        <f>AM5-AN5</f>
        <v>14840.570322580648</v>
      </c>
    </row>
    <row r="6" spans="1:41" ht="18" x14ac:dyDescent="0.35">
      <c r="A6" s="46" t="s">
        <v>218</v>
      </c>
      <c r="B6" s="43"/>
      <c r="C6" s="34" t="s">
        <v>224</v>
      </c>
      <c r="D6" s="34" t="s">
        <v>224</v>
      </c>
      <c r="E6" s="34" t="s">
        <v>224</v>
      </c>
      <c r="F6" s="34" t="s">
        <v>224</v>
      </c>
      <c r="G6" s="34" t="s">
        <v>224</v>
      </c>
      <c r="H6" s="34" t="s">
        <v>224</v>
      </c>
      <c r="I6" s="43"/>
      <c r="J6" s="34" t="s">
        <v>224</v>
      </c>
      <c r="K6" s="34" t="s">
        <v>224</v>
      </c>
      <c r="L6" s="35" t="s">
        <v>144</v>
      </c>
      <c r="M6" s="34" t="s">
        <v>224</v>
      </c>
      <c r="N6" s="34" t="s">
        <v>224</v>
      </c>
      <c r="O6" s="34" t="s">
        <v>224</v>
      </c>
      <c r="P6" s="43"/>
      <c r="Q6" s="34" t="s">
        <v>224</v>
      </c>
      <c r="R6" s="34" t="s">
        <v>224</v>
      </c>
      <c r="S6" s="34" t="s">
        <v>224</v>
      </c>
      <c r="T6" s="34" t="s">
        <v>224</v>
      </c>
      <c r="U6" s="34" t="s">
        <v>224</v>
      </c>
      <c r="V6" s="34" t="s">
        <v>224</v>
      </c>
      <c r="W6" s="43"/>
      <c r="X6" s="34" t="s">
        <v>224</v>
      </c>
      <c r="Y6" s="34" t="s">
        <v>224</v>
      </c>
      <c r="Z6" s="34" t="s">
        <v>238</v>
      </c>
      <c r="AA6" s="34" t="s">
        <v>224</v>
      </c>
      <c r="AB6" s="34" t="s">
        <v>224</v>
      </c>
      <c r="AC6" s="34" t="s">
        <v>224</v>
      </c>
      <c r="AD6" s="43"/>
      <c r="AE6" s="35" t="s">
        <v>144</v>
      </c>
      <c r="AF6" s="34" t="s">
        <v>224</v>
      </c>
      <c r="AG6" s="3">
        <f t="shared" ref="AG6:AG13" si="0">COUNTIF(C6:AF6,"P")</f>
        <v>23</v>
      </c>
      <c r="AH6" s="3">
        <f t="shared" ref="AH6:AH13" si="1">COUNTIF(C6:AF6,"A")</f>
        <v>2</v>
      </c>
      <c r="AI6" s="3">
        <f t="shared" ref="AI6:AI13" si="2">COUNTIF(C6:AF6,"H")</f>
        <v>1</v>
      </c>
      <c r="AJ6" s="3">
        <f t="shared" ref="AJ6:AJ13" si="3">COUNTA(B6:AF6)+COUNTBLANK(B6:AF6)</f>
        <v>31</v>
      </c>
      <c r="AK6" s="3">
        <f t="shared" ref="AK6:AK13" si="4">COUNTIF(C6:AF6,"L")</f>
        <v>0</v>
      </c>
      <c r="AL6" s="3">
        <v>15879</v>
      </c>
      <c r="AM6" s="3">
        <f t="shared" ref="AM6:AM13" si="5">(AL6/AJ6)*(AG6+AI6/2+AK6+5)</f>
        <v>14598.435483870968</v>
      </c>
      <c r="AN6" s="3">
        <f t="shared" ref="AN6:AN13" si="6">AL6*(12/100)</f>
        <v>1905.48</v>
      </c>
      <c r="AO6" s="3">
        <f t="shared" ref="AO6:AO13" si="7">AM6-AN6</f>
        <v>12692.955483870968</v>
      </c>
    </row>
    <row r="7" spans="1:41" ht="18" x14ac:dyDescent="0.35">
      <c r="A7" s="46" t="s">
        <v>241</v>
      </c>
      <c r="B7" s="43"/>
      <c r="C7" s="34" t="s">
        <v>224</v>
      </c>
      <c r="D7" s="34" t="s">
        <v>224</v>
      </c>
      <c r="E7" s="34" t="s">
        <v>224</v>
      </c>
      <c r="F7" s="34" t="s">
        <v>224</v>
      </c>
      <c r="G7" s="34" t="s">
        <v>224</v>
      </c>
      <c r="H7" s="34" t="s">
        <v>239</v>
      </c>
      <c r="I7" s="43"/>
      <c r="J7" s="34" t="s">
        <v>224</v>
      </c>
      <c r="K7" s="34" t="s">
        <v>224</v>
      </c>
      <c r="L7" s="34" t="s">
        <v>224</v>
      </c>
      <c r="M7" s="34" t="s">
        <v>224</v>
      </c>
      <c r="N7" s="34" t="s">
        <v>224</v>
      </c>
      <c r="O7" s="34" t="s">
        <v>224</v>
      </c>
      <c r="P7" s="43"/>
      <c r="Q7" s="34" t="s">
        <v>224</v>
      </c>
      <c r="R7" s="34" t="s">
        <v>224</v>
      </c>
      <c r="S7" s="35" t="s">
        <v>144</v>
      </c>
      <c r="T7" s="34" t="s">
        <v>224</v>
      </c>
      <c r="U7" s="34" t="s">
        <v>224</v>
      </c>
      <c r="V7" s="34" t="s">
        <v>224</v>
      </c>
      <c r="W7" s="43"/>
      <c r="X7" s="34" t="s">
        <v>224</v>
      </c>
      <c r="Y7" s="34" t="s">
        <v>224</v>
      </c>
      <c r="Z7" s="34" t="s">
        <v>224</v>
      </c>
      <c r="AA7" s="34" t="s">
        <v>224</v>
      </c>
      <c r="AB7" s="34" t="s">
        <v>224</v>
      </c>
      <c r="AC7" s="34" t="s">
        <v>224</v>
      </c>
      <c r="AD7" s="43"/>
      <c r="AE7" s="34" t="s">
        <v>224</v>
      </c>
      <c r="AF7" s="34" t="s">
        <v>224</v>
      </c>
      <c r="AG7" s="3">
        <f t="shared" si="0"/>
        <v>24</v>
      </c>
      <c r="AH7" s="3">
        <f t="shared" si="1"/>
        <v>1</v>
      </c>
      <c r="AI7" s="3">
        <f t="shared" si="2"/>
        <v>0</v>
      </c>
      <c r="AJ7" s="3">
        <f t="shared" si="3"/>
        <v>31</v>
      </c>
      <c r="AK7" s="3">
        <f t="shared" si="4"/>
        <v>1</v>
      </c>
      <c r="AL7" s="3">
        <v>10393</v>
      </c>
      <c r="AM7" s="3">
        <f t="shared" si="5"/>
        <v>10057.741935483871</v>
      </c>
      <c r="AN7" s="3">
        <f t="shared" si="6"/>
        <v>1247.1599999999999</v>
      </c>
      <c r="AO7" s="3">
        <f t="shared" si="7"/>
        <v>8810.5819354838713</v>
      </c>
    </row>
    <row r="8" spans="1:41" ht="18" x14ac:dyDescent="0.35">
      <c r="A8" s="46" t="s">
        <v>221</v>
      </c>
      <c r="B8" s="43"/>
      <c r="C8" s="34" t="s">
        <v>224</v>
      </c>
      <c r="D8" s="34" t="s">
        <v>224</v>
      </c>
      <c r="E8" s="35" t="s">
        <v>144</v>
      </c>
      <c r="F8" s="34" t="s">
        <v>224</v>
      </c>
      <c r="G8" s="34" t="s">
        <v>224</v>
      </c>
      <c r="H8" s="34" t="s">
        <v>224</v>
      </c>
      <c r="I8" s="43"/>
      <c r="J8" s="34" t="s">
        <v>224</v>
      </c>
      <c r="K8" s="34" t="s">
        <v>224</v>
      </c>
      <c r="L8" s="34" t="s">
        <v>224</v>
      </c>
      <c r="M8" s="34" t="s">
        <v>224</v>
      </c>
      <c r="N8" s="34" t="s">
        <v>224</v>
      </c>
      <c r="O8" s="34" t="s">
        <v>224</v>
      </c>
      <c r="P8" s="43"/>
      <c r="Q8" s="34" t="s">
        <v>224</v>
      </c>
      <c r="R8" s="34" t="s">
        <v>224</v>
      </c>
      <c r="S8" s="34" t="s">
        <v>224</v>
      </c>
      <c r="T8" s="34" t="s">
        <v>224</v>
      </c>
      <c r="U8" s="34" t="s">
        <v>224</v>
      </c>
      <c r="V8" s="34" t="s">
        <v>238</v>
      </c>
      <c r="W8" s="43"/>
      <c r="X8" s="34" t="s">
        <v>224</v>
      </c>
      <c r="Y8" s="34" t="s">
        <v>224</v>
      </c>
      <c r="Z8" s="35" t="s">
        <v>144</v>
      </c>
      <c r="AA8" s="34" t="s">
        <v>224</v>
      </c>
      <c r="AB8" s="34" t="s">
        <v>224</v>
      </c>
      <c r="AC8" s="34" t="s">
        <v>224</v>
      </c>
      <c r="AD8" s="43"/>
      <c r="AE8" s="34" t="s">
        <v>224</v>
      </c>
      <c r="AF8" s="34" t="s">
        <v>224</v>
      </c>
      <c r="AG8" s="3">
        <f t="shared" si="0"/>
        <v>23</v>
      </c>
      <c r="AH8" s="3">
        <f t="shared" si="1"/>
        <v>2</v>
      </c>
      <c r="AI8" s="3">
        <f t="shared" si="2"/>
        <v>1</v>
      </c>
      <c r="AJ8" s="3">
        <f t="shared" si="3"/>
        <v>31</v>
      </c>
      <c r="AK8" s="3">
        <f t="shared" si="4"/>
        <v>0</v>
      </c>
      <c r="AL8" s="3">
        <v>18727</v>
      </c>
      <c r="AM8" s="3">
        <f t="shared" si="5"/>
        <v>17216.758064516129</v>
      </c>
      <c r="AN8" s="3">
        <f t="shared" si="6"/>
        <v>2247.2399999999998</v>
      </c>
      <c r="AO8" s="3">
        <f t="shared" si="7"/>
        <v>14969.518064516129</v>
      </c>
    </row>
    <row r="9" spans="1:41" ht="18" x14ac:dyDescent="0.35">
      <c r="A9" s="46" t="s">
        <v>242</v>
      </c>
      <c r="B9" s="43"/>
      <c r="C9" s="34" t="s">
        <v>224</v>
      </c>
      <c r="D9" s="34" t="s">
        <v>224</v>
      </c>
      <c r="E9" s="34" t="s">
        <v>224</v>
      </c>
      <c r="F9" s="34" t="s">
        <v>224</v>
      </c>
      <c r="G9" s="34" t="s">
        <v>224</v>
      </c>
      <c r="H9" s="34" t="s">
        <v>224</v>
      </c>
      <c r="I9" s="43"/>
      <c r="J9" s="34" t="s">
        <v>239</v>
      </c>
      <c r="K9" s="34" t="s">
        <v>224</v>
      </c>
      <c r="L9" s="34" t="s">
        <v>224</v>
      </c>
      <c r="M9" s="34" t="s">
        <v>224</v>
      </c>
      <c r="N9" s="34" t="s">
        <v>224</v>
      </c>
      <c r="O9" s="34" t="s">
        <v>224</v>
      </c>
      <c r="P9" s="43"/>
      <c r="Q9" s="35" t="s">
        <v>144</v>
      </c>
      <c r="R9" s="34" t="s">
        <v>224</v>
      </c>
      <c r="S9" s="34" t="s">
        <v>224</v>
      </c>
      <c r="T9" s="34" t="s">
        <v>224</v>
      </c>
      <c r="U9" s="34" t="s">
        <v>224</v>
      </c>
      <c r="V9" s="34" t="s">
        <v>224</v>
      </c>
      <c r="W9" s="43"/>
      <c r="X9" s="34" t="s">
        <v>224</v>
      </c>
      <c r="Y9" s="34" t="s">
        <v>224</v>
      </c>
      <c r="Z9" s="34" t="s">
        <v>224</v>
      </c>
      <c r="AA9" s="34" t="s">
        <v>224</v>
      </c>
      <c r="AB9" s="34" t="s">
        <v>224</v>
      </c>
      <c r="AC9" s="34" t="s">
        <v>224</v>
      </c>
      <c r="AD9" s="43"/>
      <c r="AE9" s="34" t="s">
        <v>224</v>
      </c>
      <c r="AF9" s="34" t="s">
        <v>224</v>
      </c>
      <c r="AG9" s="3">
        <f t="shared" si="0"/>
        <v>24</v>
      </c>
      <c r="AH9" s="3">
        <f t="shared" si="1"/>
        <v>1</v>
      </c>
      <c r="AI9" s="3">
        <f t="shared" si="2"/>
        <v>0</v>
      </c>
      <c r="AJ9" s="3">
        <f t="shared" si="3"/>
        <v>31</v>
      </c>
      <c r="AK9" s="3">
        <f t="shared" si="4"/>
        <v>1</v>
      </c>
      <c r="AL9" s="3">
        <v>14561</v>
      </c>
      <c r="AM9" s="3">
        <f t="shared" si="5"/>
        <v>14091.290322580644</v>
      </c>
      <c r="AN9" s="3">
        <f t="shared" si="6"/>
        <v>1747.32</v>
      </c>
      <c r="AO9" s="3">
        <f t="shared" si="7"/>
        <v>12343.970322580644</v>
      </c>
    </row>
    <row r="10" spans="1:41" ht="18" x14ac:dyDescent="0.35">
      <c r="A10" s="46" t="s">
        <v>240</v>
      </c>
      <c r="B10" s="43"/>
      <c r="C10" s="34" t="s">
        <v>224</v>
      </c>
      <c r="D10" s="34" t="s">
        <v>224</v>
      </c>
      <c r="E10" s="34" t="s">
        <v>224</v>
      </c>
      <c r="F10" s="34" t="s">
        <v>224</v>
      </c>
      <c r="G10" s="34" t="s">
        <v>224</v>
      </c>
      <c r="H10" s="34" t="s">
        <v>224</v>
      </c>
      <c r="I10" s="43"/>
      <c r="J10" s="34" t="s">
        <v>224</v>
      </c>
      <c r="K10" s="34" t="s">
        <v>224</v>
      </c>
      <c r="L10" s="35" t="s">
        <v>144</v>
      </c>
      <c r="M10" s="34" t="s">
        <v>224</v>
      </c>
      <c r="N10" s="34" t="s">
        <v>224</v>
      </c>
      <c r="O10" s="34" t="s">
        <v>224</v>
      </c>
      <c r="P10" s="43"/>
      <c r="Q10" s="34" t="s">
        <v>224</v>
      </c>
      <c r="R10" s="34" t="s">
        <v>224</v>
      </c>
      <c r="S10" s="34" t="s">
        <v>224</v>
      </c>
      <c r="T10" s="34" t="s">
        <v>224</v>
      </c>
      <c r="U10" s="34" t="s">
        <v>224</v>
      </c>
      <c r="V10" s="34" t="s">
        <v>224</v>
      </c>
      <c r="W10" s="43"/>
      <c r="X10" s="34" t="s">
        <v>224</v>
      </c>
      <c r="Y10" s="34" t="s">
        <v>224</v>
      </c>
      <c r="Z10" s="34" t="s">
        <v>224</v>
      </c>
      <c r="AA10" s="34" t="s">
        <v>224</v>
      </c>
      <c r="AB10" s="34" t="s">
        <v>224</v>
      </c>
      <c r="AC10" s="34" t="s">
        <v>238</v>
      </c>
      <c r="AD10" s="43"/>
      <c r="AE10" s="34" t="s">
        <v>224</v>
      </c>
      <c r="AF10" s="34" t="s">
        <v>224</v>
      </c>
      <c r="AG10" s="3">
        <f t="shared" si="0"/>
        <v>24</v>
      </c>
      <c r="AH10" s="3">
        <f t="shared" si="1"/>
        <v>1</v>
      </c>
      <c r="AI10" s="3">
        <f t="shared" si="2"/>
        <v>1</v>
      </c>
      <c r="AJ10" s="3">
        <f t="shared" si="3"/>
        <v>31</v>
      </c>
      <c r="AK10" s="3">
        <f t="shared" si="4"/>
        <v>0</v>
      </c>
      <c r="AL10" s="3">
        <v>17885</v>
      </c>
      <c r="AM10" s="3">
        <f t="shared" si="5"/>
        <v>17019.596774193546</v>
      </c>
      <c r="AN10" s="3">
        <f t="shared" si="6"/>
        <v>2146.1999999999998</v>
      </c>
      <c r="AO10" s="3">
        <f t="shared" si="7"/>
        <v>14873.396774193545</v>
      </c>
    </row>
    <row r="11" spans="1:41" ht="18" x14ac:dyDescent="0.35">
      <c r="A11" s="46" t="s">
        <v>222</v>
      </c>
      <c r="B11" s="43"/>
      <c r="C11" s="34" t="s">
        <v>224</v>
      </c>
      <c r="D11" s="34" t="s">
        <v>224</v>
      </c>
      <c r="E11" s="34" t="s">
        <v>224</v>
      </c>
      <c r="F11" s="35" t="s">
        <v>144</v>
      </c>
      <c r="G11" s="34" t="s">
        <v>224</v>
      </c>
      <c r="H11" s="34" t="s">
        <v>224</v>
      </c>
      <c r="I11" s="43"/>
      <c r="J11" s="34" t="s">
        <v>224</v>
      </c>
      <c r="K11" s="34" t="s">
        <v>224</v>
      </c>
      <c r="L11" s="34" t="s">
        <v>224</v>
      </c>
      <c r="M11" s="34" t="s">
        <v>224</v>
      </c>
      <c r="N11" s="34" t="s">
        <v>224</v>
      </c>
      <c r="O11" s="34" t="s">
        <v>224</v>
      </c>
      <c r="P11" s="43"/>
      <c r="Q11" s="34" t="s">
        <v>224</v>
      </c>
      <c r="R11" s="35" t="s">
        <v>144</v>
      </c>
      <c r="S11" s="34" t="s">
        <v>224</v>
      </c>
      <c r="T11" s="34" t="s">
        <v>224</v>
      </c>
      <c r="U11" s="34" t="s">
        <v>224</v>
      </c>
      <c r="V11" s="34" t="s">
        <v>224</v>
      </c>
      <c r="W11" s="43"/>
      <c r="X11" s="34" t="s">
        <v>224</v>
      </c>
      <c r="Y11" s="34" t="s">
        <v>224</v>
      </c>
      <c r="Z11" s="34" t="s">
        <v>224</v>
      </c>
      <c r="AA11" s="34" t="s">
        <v>224</v>
      </c>
      <c r="AB11" s="34" t="s">
        <v>224</v>
      </c>
      <c r="AC11" s="34" t="s">
        <v>224</v>
      </c>
      <c r="AD11" s="43"/>
      <c r="AE11" s="34" t="s">
        <v>224</v>
      </c>
      <c r="AF11" s="34" t="s">
        <v>224</v>
      </c>
      <c r="AG11" s="3">
        <f t="shared" si="0"/>
        <v>24</v>
      </c>
      <c r="AH11" s="3">
        <f t="shared" si="1"/>
        <v>2</v>
      </c>
      <c r="AI11" s="3">
        <f t="shared" si="2"/>
        <v>0</v>
      </c>
      <c r="AJ11" s="3">
        <f t="shared" si="3"/>
        <v>31</v>
      </c>
      <c r="AK11" s="3">
        <f t="shared" si="4"/>
        <v>0</v>
      </c>
      <c r="AL11" s="3">
        <v>10340</v>
      </c>
      <c r="AM11" s="3">
        <f t="shared" si="5"/>
        <v>9672.9032258064526</v>
      </c>
      <c r="AN11" s="3">
        <f t="shared" si="6"/>
        <v>1240.8</v>
      </c>
      <c r="AO11" s="3">
        <f t="shared" si="7"/>
        <v>8432.1032258064533</v>
      </c>
    </row>
    <row r="12" spans="1:41" ht="18" x14ac:dyDescent="0.35">
      <c r="A12" s="46" t="s">
        <v>219</v>
      </c>
      <c r="B12" s="43"/>
      <c r="C12" s="34" t="s">
        <v>224</v>
      </c>
      <c r="D12" s="34" t="s">
        <v>224</v>
      </c>
      <c r="E12" s="34" t="s">
        <v>224</v>
      </c>
      <c r="F12" s="34" t="s">
        <v>224</v>
      </c>
      <c r="G12" s="34" t="s">
        <v>224</v>
      </c>
      <c r="H12" s="34" t="s">
        <v>224</v>
      </c>
      <c r="I12" s="43"/>
      <c r="J12" s="34" t="s">
        <v>224</v>
      </c>
      <c r="K12" s="34" t="s">
        <v>224</v>
      </c>
      <c r="L12" s="34" t="s">
        <v>224</v>
      </c>
      <c r="M12" s="34" t="s">
        <v>224</v>
      </c>
      <c r="N12" s="34" t="s">
        <v>238</v>
      </c>
      <c r="O12" s="34" t="s">
        <v>224</v>
      </c>
      <c r="P12" s="43"/>
      <c r="Q12" s="34" t="s">
        <v>224</v>
      </c>
      <c r="R12" s="34" t="s">
        <v>224</v>
      </c>
      <c r="S12" s="34" t="s">
        <v>224</v>
      </c>
      <c r="T12" s="34" t="s">
        <v>224</v>
      </c>
      <c r="U12" s="34" t="s">
        <v>224</v>
      </c>
      <c r="V12" s="34" t="s">
        <v>224</v>
      </c>
      <c r="W12" s="43"/>
      <c r="X12" s="34" t="s">
        <v>224</v>
      </c>
      <c r="Y12" s="34" t="s">
        <v>224</v>
      </c>
      <c r="Z12" s="34" t="s">
        <v>224</v>
      </c>
      <c r="AA12" s="34" t="s">
        <v>224</v>
      </c>
      <c r="AB12" s="34" t="s">
        <v>224</v>
      </c>
      <c r="AC12" s="34" t="s">
        <v>224</v>
      </c>
      <c r="AD12" s="43"/>
      <c r="AE12" s="34" t="s">
        <v>224</v>
      </c>
      <c r="AF12" s="34" t="s">
        <v>224</v>
      </c>
      <c r="AG12" s="3">
        <f t="shared" si="0"/>
        <v>25</v>
      </c>
      <c r="AH12" s="3">
        <f t="shared" si="1"/>
        <v>0</v>
      </c>
      <c r="AI12" s="3">
        <f t="shared" si="2"/>
        <v>1</v>
      </c>
      <c r="AJ12" s="3">
        <f t="shared" si="3"/>
        <v>31</v>
      </c>
      <c r="AK12" s="3">
        <f t="shared" si="4"/>
        <v>0</v>
      </c>
      <c r="AL12" s="3">
        <v>11602</v>
      </c>
      <c r="AM12" s="3">
        <f t="shared" si="5"/>
        <v>11414.870967741936</v>
      </c>
      <c r="AN12" s="3">
        <f t="shared" si="6"/>
        <v>1392.24</v>
      </c>
      <c r="AO12" s="3">
        <f t="shared" si="7"/>
        <v>10022.630967741936</v>
      </c>
    </row>
    <row r="13" spans="1:41" ht="18" x14ac:dyDescent="0.35">
      <c r="A13" s="46" t="s">
        <v>223</v>
      </c>
      <c r="B13" s="43"/>
      <c r="C13" s="34" t="s">
        <v>238</v>
      </c>
      <c r="D13" s="34" t="s">
        <v>224</v>
      </c>
      <c r="E13" s="34" t="s">
        <v>224</v>
      </c>
      <c r="F13" s="34" t="s">
        <v>224</v>
      </c>
      <c r="G13" s="34" t="s">
        <v>224</v>
      </c>
      <c r="H13" s="34" t="s">
        <v>224</v>
      </c>
      <c r="I13" s="43"/>
      <c r="J13" s="34" t="s">
        <v>239</v>
      </c>
      <c r="K13" s="34" t="s">
        <v>224</v>
      </c>
      <c r="L13" s="34" t="s">
        <v>224</v>
      </c>
      <c r="M13" s="34" t="s">
        <v>224</v>
      </c>
      <c r="N13" s="34" t="s">
        <v>224</v>
      </c>
      <c r="O13" s="34" t="s">
        <v>224</v>
      </c>
      <c r="P13" s="43"/>
      <c r="Q13" s="34" t="s">
        <v>224</v>
      </c>
      <c r="R13" s="34" t="s">
        <v>224</v>
      </c>
      <c r="S13" s="34" t="s">
        <v>224</v>
      </c>
      <c r="T13" s="34" t="s">
        <v>224</v>
      </c>
      <c r="U13" s="34" t="s">
        <v>224</v>
      </c>
      <c r="V13" s="34" t="s">
        <v>224</v>
      </c>
      <c r="W13" s="43"/>
      <c r="X13" s="34" t="s">
        <v>224</v>
      </c>
      <c r="Y13" s="34" t="s">
        <v>224</v>
      </c>
      <c r="Z13" s="35" t="s">
        <v>144</v>
      </c>
      <c r="AA13" s="34" t="s">
        <v>224</v>
      </c>
      <c r="AB13" s="34" t="s">
        <v>224</v>
      </c>
      <c r="AC13" s="34" t="s">
        <v>224</v>
      </c>
      <c r="AD13" s="43"/>
      <c r="AE13" s="34" t="s">
        <v>224</v>
      </c>
      <c r="AF13" s="34" t="s">
        <v>224</v>
      </c>
      <c r="AG13" s="3">
        <f t="shared" si="0"/>
        <v>23</v>
      </c>
      <c r="AH13" s="3">
        <f t="shared" si="1"/>
        <v>1</v>
      </c>
      <c r="AI13" s="3">
        <f t="shared" si="2"/>
        <v>1</v>
      </c>
      <c r="AJ13" s="3">
        <f t="shared" si="3"/>
        <v>31</v>
      </c>
      <c r="AK13" s="3">
        <f t="shared" si="4"/>
        <v>1</v>
      </c>
      <c r="AL13" s="3">
        <v>15581</v>
      </c>
      <c r="AM13" s="3">
        <f t="shared" si="5"/>
        <v>14827.08064516129</v>
      </c>
      <c r="AN13" s="3">
        <f t="shared" si="6"/>
        <v>1869.72</v>
      </c>
      <c r="AO13" s="3">
        <f t="shared" si="7"/>
        <v>12957.36064516129</v>
      </c>
    </row>
  </sheetData>
  <sortState xmlns:xlrd2="http://schemas.microsoft.com/office/spreadsheetml/2017/richdata2" ref="A5:A13">
    <sortCondition descending="1" ref="A5:A13"/>
  </sortState>
  <phoneticPr fontId="2" type="noConversion"/>
  <conditionalFormatting sqref="B5:AF13">
    <cfRule type="containsText" dxfId="1" priority="1" operator="containsText" text="L">
      <formula>NOT(ISERROR(SEARCH("L",B5)))</formula>
    </cfRule>
    <cfRule type="containsText" dxfId="0" priority="2" operator="containsText" text="H">
      <formula>NOT(ISERROR(SEARCH("H",B5)))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data_1</vt:lpstr>
      <vt:lpstr>Sheet1</vt:lpstr>
      <vt:lpstr>sumif</vt:lpstr>
      <vt:lpstr>count</vt:lpstr>
      <vt:lpstr>attendence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Kumar</dc:creator>
  <cp:lastModifiedBy>uma rajput</cp:lastModifiedBy>
  <dcterms:created xsi:type="dcterms:W3CDTF">2026-01-30T11:39:23Z</dcterms:created>
  <dcterms:modified xsi:type="dcterms:W3CDTF">2026-08-07T07:55:21Z</dcterms:modified>
</cp:coreProperties>
</file>